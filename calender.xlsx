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8_{200EFEA2-A04B-4EDF-B28C-6EE44CB63665}" xr6:coauthVersionLast="47" xr6:coauthVersionMax="47" xr10:uidLastSave="{00000000-0000-0000-0000-000000000000}"/>
  <bookViews>
    <workbookView xWindow="-120" yWindow="-120" windowWidth="20730" windowHeight="11040" xr2:uid="{2D059122-5560-4D1B-884D-8AF65A3704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D31" i="1"/>
  <c r="D30" i="1"/>
  <c r="D28" i="1"/>
  <c r="D27" i="1"/>
  <c r="D26" i="1"/>
  <c r="D24" i="1"/>
  <c r="D23" i="1"/>
  <c r="D22" i="1"/>
  <c r="D20" i="1"/>
  <c r="D19" i="1"/>
  <c r="D18" i="1"/>
  <c r="D16" i="1"/>
  <c r="D15" i="1"/>
  <c r="D14" i="1"/>
  <c r="D12" i="1"/>
  <c r="D11" i="1"/>
  <c r="D10" i="1"/>
  <c r="D8" i="1"/>
  <c r="D7" i="1"/>
  <c r="D6" i="1"/>
  <c r="E5" i="1"/>
  <c r="E6" i="1" s="1"/>
  <c r="R4" i="1"/>
  <c r="S4" i="1" s="1"/>
  <c r="T4" i="1" s="1"/>
  <c r="U4" i="1" s="1"/>
  <c r="P4" i="1"/>
  <c r="O4" i="1"/>
  <c r="N4" i="1"/>
  <c r="M4" i="1"/>
  <c r="L4" i="1"/>
  <c r="K4" i="1"/>
  <c r="I4" i="1" s="1"/>
  <c r="J4" i="1"/>
  <c r="H4" i="1"/>
  <c r="F4" i="1"/>
  <c r="G4" i="1" s="1"/>
  <c r="B4" i="1"/>
  <c r="S2" i="1"/>
  <c r="R2" i="1"/>
  <c r="Q2" i="1"/>
  <c r="Q4" i="1" s="1"/>
  <c r="P2" i="1"/>
  <c r="W4" i="1" l="1"/>
  <c r="X4" i="1" s="1"/>
  <c r="Y4" i="1" s="1"/>
  <c r="V4" i="1"/>
  <c r="M6" i="1"/>
  <c r="L6" i="1"/>
  <c r="Q5" i="1"/>
  <c r="N6" i="1"/>
  <c r="O5" i="1"/>
  <c r="R5" i="1" s="1"/>
  <c r="S5" i="1" s="1"/>
  <c r="T5" i="1" s="1"/>
  <c r="K6" i="1"/>
  <c r="K5" i="1"/>
  <c r="B6" i="1"/>
  <c r="O6" i="1"/>
  <c r="R6" i="1" s="1"/>
  <c r="S6" i="1" s="1"/>
  <c r="E7" i="1"/>
  <c r="B5" i="1"/>
  <c r="L5" i="1"/>
  <c r="P6" i="1"/>
  <c r="Q6" i="1"/>
  <c r="M5" i="1"/>
  <c r="T2" i="1"/>
  <c r="U2" i="1" s="1"/>
  <c r="W2" i="1" s="1"/>
  <c r="X2" i="1" s="1"/>
  <c r="Y2" i="1" s="1"/>
  <c r="N5" i="1"/>
  <c r="P5" i="1"/>
  <c r="P7" i="1" l="1"/>
  <c r="K7" i="1"/>
  <c r="B7" i="1"/>
  <c r="Q7" i="1"/>
  <c r="N7" i="1"/>
  <c r="L7" i="1"/>
  <c r="O7" i="1"/>
  <c r="R7" i="1" s="1"/>
  <c r="S7" i="1" s="1"/>
  <c r="T7" i="1" s="1"/>
  <c r="E8" i="1"/>
  <c r="M7" i="1"/>
  <c r="J6" i="1"/>
  <c r="I6" i="1"/>
  <c r="T6" i="1"/>
  <c r="U5" i="1"/>
  <c r="I5" i="1"/>
  <c r="J5" i="1"/>
  <c r="AB2" i="1"/>
  <c r="AA4" i="1"/>
  <c r="AB4" i="1" s="1"/>
  <c r="Z4" i="1"/>
  <c r="E9" i="1" l="1"/>
  <c r="N8" i="1"/>
  <c r="Q8" i="1"/>
  <c r="P8" i="1"/>
  <c r="O8" i="1"/>
  <c r="R8" i="1" s="1"/>
  <c r="S8" i="1" s="1"/>
  <c r="B8" i="1"/>
  <c r="M8" i="1"/>
  <c r="L8" i="1"/>
  <c r="K8" i="1"/>
  <c r="T8" i="1"/>
  <c r="U7" i="1"/>
  <c r="U6" i="1"/>
  <c r="V5" i="1"/>
  <c r="V6" i="1" s="1"/>
  <c r="W5" i="1"/>
  <c r="H5" i="1"/>
  <c r="F5" i="1"/>
  <c r="G5" i="1" s="1"/>
  <c r="H6" i="1"/>
  <c r="F6" i="1"/>
  <c r="G6" i="1" s="1"/>
  <c r="J7" i="1"/>
  <c r="I7" i="1"/>
  <c r="H7" i="1" l="1"/>
  <c r="F7" i="1"/>
  <c r="G7" i="1" s="1"/>
  <c r="W7" i="1"/>
  <c r="V7" i="1"/>
  <c r="V8" i="1" s="1"/>
  <c r="U8" i="1"/>
  <c r="X5" i="1"/>
  <c r="W6" i="1"/>
  <c r="I8" i="1"/>
  <c r="J8" i="1"/>
  <c r="M9" i="1"/>
  <c r="P9" i="1"/>
  <c r="E10" i="1"/>
  <c r="O9" i="1"/>
  <c r="R9" i="1" s="1"/>
  <c r="S9" i="1" s="1"/>
  <c r="T9" i="1" s="1"/>
  <c r="N9" i="1"/>
  <c r="K9" i="1"/>
  <c r="B9" i="1"/>
  <c r="Q9" i="1"/>
  <c r="L9" i="1"/>
  <c r="J9" i="1" l="1"/>
  <c r="I9" i="1"/>
  <c r="U9" i="1"/>
  <c r="T10" i="1"/>
  <c r="K10" i="1"/>
  <c r="B10" i="1"/>
  <c r="N10" i="1"/>
  <c r="M10" i="1"/>
  <c r="L10" i="1"/>
  <c r="E11" i="1"/>
  <c r="P10" i="1"/>
  <c r="O10" i="1"/>
  <c r="R10" i="1" s="1"/>
  <c r="S10" i="1" s="1"/>
  <c r="Q10" i="1"/>
  <c r="X7" i="1"/>
  <c r="X8" i="1" s="1"/>
  <c r="W8" i="1"/>
  <c r="F8" i="1"/>
  <c r="G8" i="1" s="1"/>
  <c r="H8" i="1"/>
  <c r="X6" i="1"/>
  <c r="Y5" i="1"/>
  <c r="J10" i="1" l="1"/>
  <c r="I10" i="1"/>
  <c r="U10" i="1"/>
  <c r="W9" i="1"/>
  <c r="V9" i="1"/>
  <c r="V10" i="1" s="1"/>
  <c r="Y7" i="1"/>
  <c r="AA5" i="1"/>
  <c r="AB5" i="1" s="1"/>
  <c r="Y6" i="1"/>
  <c r="AA6" i="1" s="1"/>
  <c r="AB6" i="1" s="1"/>
  <c r="Z5" i="1"/>
  <c r="Z6" i="1" s="1"/>
  <c r="Q11" i="1"/>
  <c r="L11" i="1"/>
  <c r="K11" i="1"/>
  <c r="B11" i="1"/>
  <c r="P11" i="1"/>
  <c r="E12" i="1"/>
  <c r="O11" i="1"/>
  <c r="R11" i="1" s="1"/>
  <c r="S11" i="1" s="1"/>
  <c r="T11" i="1" s="1"/>
  <c r="N11" i="1"/>
  <c r="M11" i="1"/>
  <c r="H9" i="1"/>
  <c r="F9" i="1"/>
  <c r="G9" i="1" s="1"/>
  <c r="O12" i="1" l="1"/>
  <c r="R12" i="1" s="1"/>
  <c r="S12" i="1" s="1"/>
  <c r="Q12" i="1"/>
  <c r="P12" i="1"/>
  <c r="K12" i="1"/>
  <c r="B12" i="1"/>
  <c r="E13" i="1"/>
  <c r="N12" i="1"/>
  <c r="L12" i="1"/>
  <c r="M12" i="1"/>
  <c r="I11" i="1"/>
  <c r="J11" i="1"/>
  <c r="U11" i="1"/>
  <c r="T12" i="1"/>
  <c r="Y8" i="1"/>
  <c r="AA8" i="1" s="1"/>
  <c r="AB8" i="1" s="1"/>
  <c r="AA7" i="1"/>
  <c r="AB7" i="1" s="1"/>
  <c r="Z7" i="1"/>
  <c r="Z8" i="1" s="1"/>
  <c r="X9" i="1"/>
  <c r="W10" i="1"/>
  <c r="F10" i="1"/>
  <c r="G10" i="1" s="1"/>
  <c r="H10" i="1"/>
  <c r="N13" i="1" l="1"/>
  <c r="Q13" i="1"/>
  <c r="P13" i="1"/>
  <c r="E14" i="1"/>
  <c r="O13" i="1"/>
  <c r="R13" i="1" s="1"/>
  <c r="S13" i="1" s="1"/>
  <c r="T13" i="1" s="1"/>
  <c r="M13" i="1"/>
  <c r="L13" i="1"/>
  <c r="K13" i="1"/>
  <c r="B13" i="1"/>
  <c r="U12" i="1"/>
  <c r="W11" i="1"/>
  <c r="V11" i="1"/>
  <c r="V12" i="1" s="1"/>
  <c r="J12" i="1"/>
  <c r="I12" i="1"/>
  <c r="H11" i="1"/>
  <c r="F11" i="1"/>
  <c r="G11" i="1" s="1"/>
  <c r="Y9" i="1"/>
  <c r="X10" i="1"/>
  <c r="T14" i="1" l="1"/>
  <c r="U13" i="1"/>
  <c r="L14" i="1"/>
  <c r="E15" i="1"/>
  <c r="O14" i="1"/>
  <c r="R14" i="1" s="1"/>
  <c r="S14" i="1" s="1"/>
  <c r="N14" i="1"/>
  <c r="M14" i="1"/>
  <c r="B14" i="1"/>
  <c r="Q14" i="1"/>
  <c r="P14" i="1"/>
  <c r="K14" i="1"/>
  <c r="Y11" i="1"/>
  <c r="AA9" i="1"/>
  <c r="AB9" i="1" s="1"/>
  <c r="Z9" i="1"/>
  <c r="Z10" i="1" s="1"/>
  <c r="Y10" i="1"/>
  <c r="AA10" i="1" s="1"/>
  <c r="AB10" i="1" s="1"/>
  <c r="I13" i="1"/>
  <c r="J13" i="1"/>
  <c r="H12" i="1"/>
  <c r="F12" i="1"/>
  <c r="G12" i="1" s="1"/>
  <c r="W12" i="1"/>
  <c r="X11" i="1"/>
  <c r="X12" i="1" s="1"/>
  <c r="F13" i="1" l="1"/>
  <c r="G13" i="1" s="1"/>
  <c r="H13" i="1"/>
  <c r="V13" i="1"/>
  <c r="V14" i="1" s="1"/>
  <c r="U14" i="1"/>
  <c r="W13" i="1"/>
  <c r="Y12" i="1"/>
  <c r="AA12" i="1" s="1"/>
  <c r="AB12" i="1" s="1"/>
  <c r="AA11" i="1"/>
  <c r="AB11" i="1" s="1"/>
  <c r="Z11" i="1"/>
  <c r="Z12" i="1" s="1"/>
  <c r="M15" i="1"/>
  <c r="L15" i="1"/>
  <c r="K15" i="1"/>
  <c r="B15" i="1"/>
  <c r="Q15" i="1"/>
  <c r="P15" i="1"/>
  <c r="E16" i="1"/>
  <c r="O15" i="1"/>
  <c r="R15" i="1" s="1"/>
  <c r="S15" i="1" s="1"/>
  <c r="T15" i="1" s="1"/>
  <c r="N15" i="1"/>
  <c r="J14" i="1"/>
  <c r="I14" i="1"/>
  <c r="U15" i="1" l="1"/>
  <c r="T16" i="1"/>
  <c r="P16" i="1"/>
  <c r="K16" i="1"/>
  <c r="B16" i="1"/>
  <c r="Q16" i="1"/>
  <c r="E17" i="1"/>
  <c r="N16" i="1"/>
  <c r="M16" i="1"/>
  <c r="L16" i="1"/>
  <c r="O16" i="1"/>
  <c r="R16" i="1" s="1"/>
  <c r="S16" i="1" s="1"/>
  <c r="F14" i="1"/>
  <c r="G14" i="1" s="1"/>
  <c r="H14" i="1"/>
  <c r="W14" i="1"/>
  <c r="X13" i="1"/>
  <c r="J15" i="1"/>
  <c r="I15" i="1"/>
  <c r="H15" i="1" l="1"/>
  <c r="F15" i="1"/>
  <c r="G15" i="1" s="1"/>
  <c r="Y13" i="1"/>
  <c r="X14" i="1"/>
  <c r="E18" i="1"/>
  <c r="O17" i="1"/>
  <c r="R17" i="1" s="1"/>
  <c r="S17" i="1" s="1"/>
  <c r="T17" i="1" s="1"/>
  <c r="Q17" i="1"/>
  <c r="P17" i="1"/>
  <c r="B17" i="1"/>
  <c r="N17" i="1"/>
  <c r="M17" i="1"/>
  <c r="L17" i="1"/>
  <c r="K17" i="1"/>
  <c r="J16" i="1"/>
  <c r="I16" i="1"/>
  <c r="W15" i="1"/>
  <c r="V15" i="1"/>
  <c r="V16" i="1" s="1"/>
  <c r="U16" i="1"/>
  <c r="U17" i="1" l="1"/>
  <c r="T18" i="1"/>
  <c r="J17" i="1"/>
  <c r="I17" i="1"/>
  <c r="AA13" i="1"/>
  <c r="AB13" i="1" s="1"/>
  <c r="Z13" i="1"/>
  <c r="Z14" i="1" s="1"/>
  <c r="Y15" i="1"/>
  <c r="Y14" i="1"/>
  <c r="AA14" i="1" s="1"/>
  <c r="AB14" i="1" s="1"/>
  <c r="X15" i="1"/>
  <c r="X16" i="1" s="1"/>
  <c r="W16" i="1"/>
  <c r="H16" i="1"/>
  <c r="F16" i="1"/>
  <c r="G16" i="1" s="1"/>
  <c r="M18" i="1"/>
  <c r="P18" i="1"/>
  <c r="E19" i="1"/>
  <c r="O18" i="1"/>
  <c r="R18" i="1" s="1"/>
  <c r="S18" i="1" s="1"/>
  <c r="N18" i="1"/>
  <c r="K18" i="1"/>
  <c r="B18" i="1"/>
  <c r="Q18" i="1"/>
  <c r="L18" i="1"/>
  <c r="Z15" i="1" l="1"/>
  <c r="Z16" i="1" s="1"/>
  <c r="Y16" i="1"/>
  <c r="AA16" i="1" s="1"/>
  <c r="AB16" i="1" s="1"/>
  <c r="AA15" i="1"/>
  <c r="AB15" i="1" s="1"/>
  <c r="H17" i="1"/>
  <c r="F17" i="1"/>
  <c r="G17" i="1" s="1"/>
  <c r="K19" i="1"/>
  <c r="B19" i="1"/>
  <c r="N19" i="1"/>
  <c r="M19" i="1"/>
  <c r="L19" i="1"/>
  <c r="E20" i="1"/>
  <c r="P19" i="1"/>
  <c r="O19" i="1"/>
  <c r="R19" i="1" s="1"/>
  <c r="S19" i="1" s="1"/>
  <c r="T19" i="1" s="1"/>
  <c r="Q19" i="1"/>
  <c r="J18" i="1"/>
  <c r="I18" i="1"/>
  <c r="U18" i="1"/>
  <c r="W17" i="1"/>
  <c r="V17" i="1"/>
  <c r="V18" i="1" s="1"/>
  <c r="W18" i="1" l="1"/>
  <c r="X17" i="1"/>
  <c r="H18" i="1"/>
  <c r="F18" i="1"/>
  <c r="G18" i="1" s="1"/>
  <c r="J19" i="1"/>
  <c r="I19" i="1"/>
  <c r="T20" i="1"/>
  <c r="U19" i="1"/>
  <c r="Q20" i="1"/>
  <c r="L20" i="1"/>
  <c r="K20" i="1"/>
  <c r="B20" i="1"/>
  <c r="P20" i="1"/>
  <c r="O20" i="1"/>
  <c r="R20" i="1" s="1"/>
  <c r="S20" i="1" s="1"/>
  <c r="E21" i="1"/>
  <c r="N20" i="1"/>
  <c r="M20" i="1"/>
  <c r="V19" i="1" l="1"/>
  <c r="V20" i="1" s="1"/>
  <c r="U20" i="1"/>
  <c r="W19" i="1"/>
  <c r="F19" i="1"/>
  <c r="G19" i="1" s="1"/>
  <c r="H19" i="1"/>
  <c r="I20" i="1"/>
  <c r="J20" i="1"/>
  <c r="X18" i="1"/>
  <c r="Y17" i="1"/>
  <c r="P21" i="1"/>
  <c r="K21" i="1"/>
  <c r="Q21" i="1"/>
  <c r="L21" i="1"/>
  <c r="B21" i="1"/>
  <c r="E22" i="1"/>
  <c r="O21" i="1"/>
  <c r="R21" i="1" s="1"/>
  <c r="S21" i="1" s="1"/>
  <c r="T21" i="1" s="1"/>
  <c r="M21" i="1"/>
  <c r="N21" i="1"/>
  <c r="U21" i="1" l="1"/>
  <c r="T22" i="1"/>
  <c r="N22" i="1"/>
  <c r="Q22" i="1"/>
  <c r="P22" i="1"/>
  <c r="E23" i="1"/>
  <c r="O22" i="1"/>
  <c r="R22" i="1" s="1"/>
  <c r="S22" i="1" s="1"/>
  <c r="M22" i="1"/>
  <c r="L22" i="1"/>
  <c r="K22" i="1"/>
  <c r="B22" i="1"/>
  <c r="H20" i="1"/>
  <c r="F20" i="1"/>
  <c r="G20" i="1" s="1"/>
  <c r="J21" i="1"/>
  <c r="I21" i="1"/>
  <c r="X19" i="1"/>
  <c r="X20" i="1" s="1"/>
  <c r="W20" i="1"/>
  <c r="Z17" i="1"/>
  <c r="Z18" i="1" s="1"/>
  <c r="Y18" i="1"/>
  <c r="AA18" i="1" s="1"/>
  <c r="AB18" i="1" s="1"/>
  <c r="Y19" i="1"/>
  <c r="AA17" i="1"/>
  <c r="AB17" i="1" s="1"/>
  <c r="H21" i="1" l="1"/>
  <c r="F21" i="1"/>
  <c r="G21" i="1" s="1"/>
  <c r="L23" i="1"/>
  <c r="E24" i="1"/>
  <c r="O23" i="1"/>
  <c r="R23" i="1" s="1"/>
  <c r="S23" i="1" s="1"/>
  <c r="T23" i="1" s="1"/>
  <c r="N23" i="1"/>
  <c r="M23" i="1"/>
  <c r="B23" i="1"/>
  <c r="Q23" i="1"/>
  <c r="P23" i="1"/>
  <c r="K23" i="1"/>
  <c r="Y20" i="1"/>
  <c r="AA20" i="1" s="1"/>
  <c r="AB20" i="1" s="1"/>
  <c r="AA19" i="1"/>
  <c r="AB19" i="1" s="1"/>
  <c r="Z19" i="1"/>
  <c r="Z20" i="1" s="1"/>
  <c r="I22" i="1"/>
  <c r="J22" i="1"/>
  <c r="W21" i="1"/>
  <c r="V21" i="1"/>
  <c r="V22" i="1" s="1"/>
  <c r="U22" i="1"/>
  <c r="X21" i="1" l="1"/>
  <c r="W22" i="1"/>
  <c r="J23" i="1"/>
  <c r="I23" i="1"/>
  <c r="F22" i="1"/>
  <c r="G22" i="1" s="1"/>
  <c r="H22" i="1"/>
  <c r="T24" i="1"/>
  <c r="U23" i="1"/>
  <c r="M24" i="1"/>
  <c r="L24" i="1"/>
  <c r="K24" i="1"/>
  <c r="B24" i="1"/>
  <c r="Q24" i="1"/>
  <c r="P24" i="1"/>
  <c r="O24" i="1"/>
  <c r="R24" i="1" s="1"/>
  <c r="S24" i="1" s="1"/>
  <c r="E25" i="1"/>
  <c r="N24" i="1"/>
  <c r="X22" i="1" l="1"/>
  <c r="Y21" i="1"/>
  <c r="U24" i="1"/>
  <c r="W23" i="1"/>
  <c r="V23" i="1"/>
  <c r="V24" i="1" s="1"/>
  <c r="Q25" i="1"/>
  <c r="L25" i="1"/>
  <c r="B25" i="1"/>
  <c r="K25" i="1"/>
  <c r="E26" i="1"/>
  <c r="O25" i="1"/>
  <c r="R25" i="1" s="1"/>
  <c r="S25" i="1" s="1"/>
  <c r="T25" i="1" s="1"/>
  <c r="N25" i="1"/>
  <c r="M25" i="1"/>
  <c r="P25" i="1"/>
  <c r="J24" i="1"/>
  <c r="I24" i="1"/>
  <c r="F23" i="1"/>
  <c r="G23" i="1" s="1"/>
  <c r="H23" i="1"/>
  <c r="H24" i="1" l="1"/>
  <c r="F24" i="1"/>
  <c r="G24" i="1" s="1"/>
  <c r="W24" i="1"/>
  <c r="X23" i="1"/>
  <c r="X24" i="1" s="1"/>
  <c r="T26" i="1"/>
  <c r="U25" i="1"/>
  <c r="E27" i="1"/>
  <c r="O26" i="1"/>
  <c r="R26" i="1" s="1"/>
  <c r="S26" i="1" s="1"/>
  <c r="Q26" i="1"/>
  <c r="P26" i="1"/>
  <c r="B26" i="1"/>
  <c r="N26" i="1"/>
  <c r="M26" i="1"/>
  <c r="L26" i="1"/>
  <c r="K26" i="1"/>
  <c r="Y22" i="1"/>
  <c r="AA22" i="1" s="1"/>
  <c r="AB22" i="1" s="1"/>
  <c r="AA21" i="1"/>
  <c r="AB21" i="1" s="1"/>
  <c r="Z21" i="1"/>
  <c r="Z22" i="1" s="1"/>
  <c r="Y23" i="1"/>
  <c r="I25" i="1"/>
  <c r="J25" i="1"/>
  <c r="M27" i="1" l="1"/>
  <c r="P27" i="1"/>
  <c r="E28" i="1"/>
  <c r="O27" i="1"/>
  <c r="R27" i="1" s="1"/>
  <c r="S27" i="1" s="1"/>
  <c r="T27" i="1" s="1"/>
  <c r="N27" i="1"/>
  <c r="K27" i="1"/>
  <c r="B27" i="1"/>
  <c r="Q27" i="1"/>
  <c r="L27" i="1"/>
  <c r="J26" i="1"/>
  <c r="I26" i="1"/>
  <c r="U26" i="1"/>
  <c r="W25" i="1"/>
  <c r="V25" i="1"/>
  <c r="V26" i="1" s="1"/>
  <c r="H25" i="1"/>
  <c r="F25" i="1"/>
  <c r="G25" i="1" s="1"/>
  <c r="AA23" i="1"/>
  <c r="AB23" i="1" s="1"/>
  <c r="Z23" i="1"/>
  <c r="Z24" i="1" s="1"/>
  <c r="Y24" i="1"/>
  <c r="AA24" i="1" s="1"/>
  <c r="AB24" i="1" s="1"/>
  <c r="H26" i="1" l="1"/>
  <c r="F26" i="1"/>
  <c r="G26" i="1" s="1"/>
  <c r="J27" i="1"/>
  <c r="I27" i="1"/>
  <c r="W26" i="1"/>
  <c r="X25" i="1"/>
  <c r="U27" i="1"/>
  <c r="T28" i="1"/>
  <c r="K28" i="1"/>
  <c r="B28" i="1"/>
  <c r="E29" i="1"/>
  <c r="N28" i="1"/>
  <c r="M28" i="1"/>
  <c r="L28" i="1"/>
  <c r="P28" i="1"/>
  <c r="O28" i="1"/>
  <c r="R28" i="1" s="1"/>
  <c r="S28" i="1" s="1"/>
  <c r="Q28" i="1"/>
  <c r="J28" i="1" l="1"/>
  <c r="I28" i="1"/>
  <c r="U28" i="1"/>
  <c r="W27" i="1"/>
  <c r="V27" i="1"/>
  <c r="V28" i="1" s="1"/>
  <c r="Y25" i="1"/>
  <c r="X26" i="1"/>
  <c r="M29" i="1"/>
  <c r="L29" i="1"/>
  <c r="B29" i="1"/>
  <c r="K29" i="1"/>
  <c r="Q29" i="1"/>
  <c r="P29" i="1"/>
  <c r="E30" i="1"/>
  <c r="O29" i="1"/>
  <c r="R29" i="1" s="1"/>
  <c r="S29" i="1" s="1"/>
  <c r="T29" i="1" s="1"/>
  <c r="N29" i="1"/>
  <c r="H27" i="1"/>
  <c r="F27" i="1"/>
  <c r="G27" i="1" s="1"/>
  <c r="J29" i="1" l="1"/>
  <c r="I29" i="1"/>
  <c r="U29" i="1"/>
  <c r="T30" i="1"/>
  <c r="F28" i="1"/>
  <c r="G28" i="1" s="1"/>
  <c r="H28" i="1"/>
  <c r="P30" i="1"/>
  <c r="K30" i="1"/>
  <c r="B30" i="1"/>
  <c r="Q30" i="1"/>
  <c r="M30" i="1"/>
  <c r="L30" i="1"/>
  <c r="E31" i="1"/>
  <c r="O30" i="1"/>
  <c r="R30" i="1" s="1"/>
  <c r="S30" i="1" s="1"/>
  <c r="N30" i="1"/>
  <c r="Y26" i="1"/>
  <c r="AA26" i="1" s="1"/>
  <c r="AB26" i="1" s="1"/>
  <c r="AA25" i="1"/>
  <c r="AB25" i="1" s="1"/>
  <c r="Z25" i="1"/>
  <c r="Z26" i="1" s="1"/>
  <c r="Y27" i="1"/>
  <c r="X27" i="1"/>
  <c r="X28" i="1" s="1"/>
  <c r="W28" i="1"/>
  <c r="J30" i="1" l="1"/>
  <c r="I30" i="1"/>
  <c r="N31" i="1"/>
  <c r="Q31" i="1"/>
  <c r="P31" i="1"/>
  <c r="E32" i="1"/>
  <c r="O31" i="1"/>
  <c r="R31" i="1" s="1"/>
  <c r="S31" i="1" s="1"/>
  <c r="T31" i="1" s="1"/>
  <c r="B31" i="1"/>
  <c r="M31" i="1"/>
  <c r="L31" i="1"/>
  <c r="K31" i="1"/>
  <c r="AA27" i="1"/>
  <c r="AB27" i="1" s="1"/>
  <c r="Z27" i="1"/>
  <c r="Z28" i="1" s="1"/>
  <c r="Y28" i="1"/>
  <c r="AA28" i="1" s="1"/>
  <c r="AB28" i="1" s="1"/>
  <c r="W29" i="1"/>
  <c r="V29" i="1"/>
  <c r="V30" i="1" s="1"/>
  <c r="U30" i="1"/>
  <c r="F29" i="1"/>
  <c r="G29" i="1" s="1"/>
  <c r="H29" i="1"/>
  <c r="W30" i="1" l="1"/>
  <c r="X29" i="1"/>
  <c r="T32" i="1"/>
  <c r="U31" i="1"/>
  <c r="I31" i="1"/>
  <c r="J31" i="1"/>
  <c r="L32" i="1"/>
  <c r="O32" i="1"/>
  <c r="R32" i="1" s="1"/>
  <c r="S32" i="1" s="1"/>
  <c r="N32" i="1"/>
  <c r="M32" i="1"/>
  <c r="B32" i="1"/>
  <c r="Q32" i="1"/>
  <c r="P32" i="1"/>
  <c r="K32" i="1"/>
  <c r="H30" i="1"/>
  <c r="F30" i="1"/>
  <c r="G30" i="1" s="1"/>
  <c r="F31" i="1" l="1"/>
  <c r="G31" i="1" s="1"/>
  <c r="H31" i="1"/>
  <c r="V31" i="1"/>
  <c r="V32" i="1" s="1"/>
  <c r="U32" i="1"/>
  <c r="W31" i="1"/>
  <c r="J32" i="1"/>
  <c r="I32" i="1"/>
  <c r="X30" i="1"/>
  <c r="Y29" i="1"/>
  <c r="Z29" i="1" l="1"/>
  <c r="Z30" i="1" s="1"/>
  <c r="Y31" i="1"/>
  <c r="Y30" i="1"/>
  <c r="AA30" i="1" s="1"/>
  <c r="AB30" i="1" s="1"/>
  <c r="AA29" i="1"/>
  <c r="AB29" i="1" s="1"/>
  <c r="F32" i="1"/>
  <c r="G32" i="1" s="1"/>
  <c r="H32" i="1"/>
  <c r="W32" i="1"/>
  <c r="X31" i="1"/>
  <c r="X32" i="1" s="1"/>
  <c r="Y32" i="1" l="1"/>
  <c r="AA32" i="1" s="1"/>
  <c r="AB32" i="1" s="1"/>
  <c r="AA31" i="1"/>
  <c r="AB31" i="1" s="1"/>
  <c r="Z31" i="1"/>
  <c r="Z32" i="1" s="1"/>
</calcChain>
</file>

<file path=xl/sharedStrings.xml><?xml version="1.0" encoding="utf-8"?>
<sst xmlns="http://schemas.openxmlformats.org/spreadsheetml/2006/main" count="89" uniqueCount="62">
  <si>
    <t>Sourcing to drive</t>
  </si>
  <si>
    <t>FTR tech to track</t>
  </si>
  <si>
    <t>Drop</t>
  </si>
  <si>
    <t>Month</t>
  </si>
  <si>
    <t>Range</t>
  </si>
  <si>
    <t>Opt Plan</t>
  </si>
  <si>
    <t>Launch</t>
  </si>
  <si>
    <t>Prod start</t>
  </si>
  <si>
    <t>Prod end</t>
  </si>
  <si>
    <t>Ex-fact 1</t>
  </si>
  <si>
    <t>Ex-fac end</t>
  </si>
  <si>
    <t>Ship 1st</t>
  </si>
  <si>
    <t>Ship last</t>
  </si>
  <si>
    <t>PO Raise 45</t>
  </si>
  <si>
    <t>PO Raise 60</t>
  </si>
  <si>
    <t>PO Raise 75</t>
  </si>
  <si>
    <t>PO Raise 105</t>
  </si>
  <si>
    <t>PO Raise 120</t>
  </si>
  <si>
    <t>Blue Seal 2 vendors submission</t>
  </si>
  <si>
    <t>1st Blue Seal Reviews</t>
  </si>
  <si>
    <t>Trevor - SR</t>
  </si>
  <si>
    <t>Internal SR</t>
  </si>
  <si>
    <t>Techpak to Vendor</t>
  </si>
  <si>
    <t>Tech pk handovr to Tech</t>
  </si>
  <si>
    <t>Techpack by Design</t>
  </si>
  <si>
    <t>VSR</t>
  </si>
  <si>
    <t>VSR Working</t>
  </si>
  <si>
    <t>Bottoms Workshop</t>
  </si>
  <si>
    <t>Season Fabric Edit</t>
  </si>
  <si>
    <t>D00</t>
  </si>
  <si>
    <t>Top-Up</t>
  </si>
  <si>
    <t>-</t>
  </si>
  <si>
    <t>D01</t>
  </si>
  <si>
    <t>Essentials</t>
  </si>
  <si>
    <t>D02</t>
  </si>
  <si>
    <t>D03</t>
  </si>
  <si>
    <t xml:space="preserve">Collection 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</si>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</sst>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FCA2"/>
        <bgColor indexed="64"/>
      </patternFill>
    </fill>
    <fill>
      <patternFill patternType="solid">
        <fgColor rgb="FFA7F3C6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4" fontId="1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A089-6837-4E43-8420-1D1F411961AF}">
  <dimension ref="A1:AB32"/>
  <sheetViews>
    <sheetView tabSelected="1" workbookViewId="0">
      <selection sqref="A1:AB32"/>
    </sheetView>
  </sheetViews>
  <sheetFormatPr defaultRowHeight="15" x14ac:dyDescent="0.25"/>
  <sheetData>
    <row r="1" spans="1:28" ht="24" x14ac:dyDescent="0.25">
      <c r="R1" s="1" t="s">
        <v>0</v>
      </c>
      <c r="S1" t="s">
        <v>1</v>
      </c>
      <c r="T1" s="2"/>
      <c r="V1" s="3"/>
      <c r="W1" s="2"/>
      <c r="X1" s="2"/>
    </row>
    <row r="2" spans="1:28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5">
        <v>57</v>
      </c>
      <c r="M2" s="5">
        <v>71</v>
      </c>
      <c r="N2" s="5">
        <v>85</v>
      </c>
      <c r="O2" s="5">
        <v>112</v>
      </c>
      <c r="P2" s="5">
        <f>O2+14</f>
        <v>126</v>
      </c>
      <c r="Q2" s="5">
        <f>P2+14</f>
        <v>140</v>
      </c>
      <c r="R2" s="5">
        <f>O2+7</f>
        <v>119</v>
      </c>
      <c r="S2" s="5">
        <f>P2+7</f>
        <v>133</v>
      </c>
      <c r="T2" s="5">
        <f>Q2+7</f>
        <v>147</v>
      </c>
      <c r="U2" s="5">
        <f>T2+7</f>
        <v>154</v>
      </c>
      <c r="V2" s="5"/>
      <c r="W2" s="5">
        <f>U2+7</f>
        <v>161</v>
      </c>
      <c r="X2" s="5">
        <f>W2+7</f>
        <v>168</v>
      </c>
      <c r="Y2" s="5">
        <f>X2+7</f>
        <v>175</v>
      </c>
      <c r="Z2" s="4"/>
      <c r="AA2" s="4"/>
      <c r="AB2" s="6">
        <f>E4-Y4</f>
        <v>172</v>
      </c>
    </row>
    <row r="3" spans="1:28" ht="75" x14ac:dyDescent="0.25">
      <c r="A3" s="7" t="s">
        <v>2</v>
      </c>
      <c r="B3" s="7" t="s">
        <v>3</v>
      </c>
      <c r="C3" s="7" t="s">
        <v>4</v>
      </c>
      <c r="D3" s="8" t="s">
        <v>5</v>
      </c>
      <c r="E3" s="9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10" t="s">
        <v>11</v>
      </c>
      <c r="K3" s="10" t="s">
        <v>12</v>
      </c>
      <c r="L3" s="11" t="s">
        <v>13</v>
      </c>
      <c r="M3" s="11" t="s">
        <v>14</v>
      </c>
      <c r="N3" s="11" t="s">
        <v>15</v>
      </c>
      <c r="O3" s="12" t="s">
        <v>16</v>
      </c>
      <c r="P3" s="11" t="s">
        <v>16</v>
      </c>
      <c r="Q3" s="11" t="s">
        <v>17</v>
      </c>
      <c r="R3" s="12" t="s">
        <v>18</v>
      </c>
      <c r="S3" s="12" t="s">
        <v>19</v>
      </c>
      <c r="T3" s="13" t="s">
        <v>20</v>
      </c>
      <c r="U3" s="14" t="s">
        <v>21</v>
      </c>
      <c r="V3" s="14" t="s">
        <v>22</v>
      </c>
      <c r="W3" s="14" t="s">
        <v>23</v>
      </c>
      <c r="X3" s="14" t="s">
        <v>24</v>
      </c>
      <c r="Y3" s="11" t="s">
        <v>25</v>
      </c>
      <c r="Z3" s="12" t="s">
        <v>26</v>
      </c>
      <c r="AA3" s="12" t="s">
        <v>27</v>
      </c>
      <c r="AB3" s="12" t="s">
        <v>28</v>
      </c>
    </row>
    <row r="4" spans="1:28" x14ac:dyDescent="0.25">
      <c r="A4" s="7" t="s">
        <v>29</v>
      </c>
      <c r="B4" s="4" t="str">
        <f t="shared" ref="B4:B32" si="0">TEXT(E4,"mmm")</f>
        <v>Dec</v>
      </c>
      <c r="C4" s="7" t="s">
        <v>30</v>
      </c>
      <c r="D4" s="7" t="s">
        <v>31</v>
      </c>
      <c r="E4" s="15">
        <v>46387</v>
      </c>
      <c r="F4" s="16">
        <f t="shared" ref="F4:F32" si="1">J4-28</f>
        <v>46339</v>
      </c>
      <c r="G4" s="16">
        <f t="shared" ref="G4:G32" si="2">F4+28</f>
        <v>46367</v>
      </c>
      <c r="H4" s="16">
        <f t="shared" ref="H4:I19" si="3">J4-14</f>
        <v>46353</v>
      </c>
      <c r="I4" s="16">
        <f t="shared" si="3"/>
        <v>46358</v>
      </c>
      <c r="J4" s="16">
        <f t="shared" ref="J4:J32" si="4">K4-5</f>
        <v>46367</v>
      </c>
      <c r="K4" s="16">
        <f t="shared" ref="K4:K32" si="5">$E4-15</f>
        <v>46372</v>
      </c>
      <c r="L4" s="16">
        <f t="shared" ref="L4:Q22" si="6">$E4-L$2</f>
        <v>46330</v>
      </c>
      <c r="M4" s="16">
        <f t="shared" si="6"/>
        <v>46316</v>
      </c>
      <c r="N4" s="16">
        <f t="shared" si="6"/>
        <v>46302</v>
      </c>
      <c r="O4" s="16">
        <f t="shared" si="6"/>
        <v>46275</v>
      </c>
      <c r="P4" s="16">
        <f t="shared" si="6"/>
        <v>46261</v>
      </c>
      <c r="Q4" s="16">
        <f t="shared" si="6"/>
        <v>46247</v>
      </c>
      <c r="R4" s="16">
        <f t="shared" ref="R4:R32" si="7">O4-7</f>
        <v>46268</v>
      </c>
      <c r="S4" s="17">
        <f t="shared" ref="S4:U19" si="8">R4-7</f>
        <v>46261</v>
      </c>
      <c r="T4" s="17">
        <f t="shared" si="8"/>
        <v>46254</v>
      </c>
      <c r="U4" s="17">
        <f t="shared" si="8"/>
        <v>46247</v>
      </c>
      <c r="V4" s="17">
        <f>U4-20</f>
        <v>46227</v>
      </c>
      <c r="W4" s="18">
        <f>U4-27</f>
        <v>46220</v>
      </c>
      <c r="X4" s="17">
        <f t="shared" ref="X4:X5" si="9">W4-4</f>
        <v>46216</v>
      </c>
      <c r="Y4" s="19">
        <f t="shared" ref="Y4:Y5" si="10">X4-1</f>
        <v>46215</v>
      </c>
      <c r="Z4" s="19">
        <f t="shared" ref="Z4" si="11">Y4-10</f>
        <v>46205</v>
      </c>
      <c r="AA4" s="17">
        <f t="shared" ref="AA4" si="12">Y4-25</f>
        <v>46190</v>
      </c>
      <c r="AB4" s="17">
        <f t="shared" ref="AB4" si="13">AA4-20</f>
        <v>46170</v>
      </c>
    </row>
    <row r="5" spans="1:28" x14ac:dyDescent="0.25">
      <c r="A5" s="7" t="s">
        <v>32</v>
      </c>
      <c r="B5" s="4" t="str">
        <f t="shared" si="0"/>
        <v>Jan</v>
      </c>
      <c r="C5" s="7" t="s">
        <v>33</v>
      </c>
      <c r="D5" s="7">
        <v>0</v>
      </c>
      <c r="E5" s="15">
        <f>E4+7</f>
        <v>46394</v>
      </c>
      <c r="F5" s="16">
        <f t="shared" si="1"/>
        <v>46346</v>
      </c>
      <c r="G5" s="16">
        <f t="shared" si="2"/>
        <v>46374</v>
      </c>
      <c r="H5" s="16">
        <f t="shared" si="3"/>
        <v>46360</v>
      </c>
      <c r="I5" s="16">
        <f t="shared" si="3"/>
        <v>46365</v>
      </c>
      <c r="J5" s="16">
        <f t="shared" si="4"/>
        <v>46374</v>
      </c>
      <c r="K5" s="16">
        <f t="shared" si="5"/>
        <v>46379</v>
      </c>
      <c r="L5" s="16">
        <f t="shared" si="6"/>
        <v>46337</v>
      </c>
      <c r="M5" s="16">
        <f t="shared" si="6"/>
        <v>46323</v>
      </c>
      <c r="N5" s="16">
        <f t="shared" si="6"/>
        <v>46309</v>
      </c>
      <c r="O5" s="16">
        <f t="shared" si="6"/>
        <v>46282</v>
      </c>
      <c r="P5" s="16">
        <f t="shared" si="6"/>
        <v>46268</v>
      </c>
      <c r="Q5" s="16">
        <f t="shared" si="6"/>
        <v>46254</v>
      </c>
      <c r="R5" s="16">
        <f t="shared" si="7"/>
        <v>46275</v>
      </c>
      <c r="S5" s="16">
        <f t="shared" si="8"/>
        <v>46268</v>
      </c>
      <c r="T5" s="17">
        <f>S5-1</f>
        <v>46267</v>
      </c>
      <c r="U5" s="20">
        <f>T5-1</f>
        <v>46266</v>
      </c>
      <c r="V5" s="16">
        <f>U5-20</f>
        <v>46246</v>
      </c>
      <c r="W5" s="20">
        <f t="shared" ref="W5" si="14">U5-27</f>
        <v>46239</v>
      </c>
      <c r="X5" s="16">
        <f t="shared" si="9"/>
        <v>46235</v>
      </c>
      <c r="Y5" s="21">
        <f t="shared" si="10"/>
        <v>46234</v>
      </c>
      <c r="Z5" s="21">
        <f>Y5-7</f>
        <v>46227</v>
      </c>
      <c r="AA5" s="16">
        <f>Y5-19</f>
        <v>46215</v>
      </c>
      <c r="AB5" s="16">
        <f>AA5-10</f>
        <v>46205</v>
      </c>
    </row>
    <row r="6" spans="1:28" x14ac:dyDescent="0.25">
      <c r="A6" s="7" t="s">
        <v>34</v>
      </c>
      <c r="B6" s="4" t="str">
        <f t="shared" si="0"/>
        <v>Jan</v>
      </c>
      <c r="C6" s="7" t="s">
        <v>31</v>
      </c>
      <c r="D6" s="7">
        <f>15+15+15+15+15+15+6+6+6+8+8</f>
        <v>124</v>
      </c>
      <c r="E6" s="22">
        <f t="shared" ref="E6:E32" si="15">E5+7</f>
        <v>46401</v>
      </c>
      <c r="F6" s="17">
        <f t="shared" si="1"/>
        <v>46353</v>
      </c>
      <c r="G6" s="17">
        <f t="shared" si="2"/>
        <v>46381</v>
      </c>
      <c r="H6" s="17">
        <f t="shared" si="3"/>
        <v>46367</v>
      </c>
      <c r="I6" s="17">
        <f t="shared" si="3"/>
        <v>46372</v>
      </c>
      <c r="J6" s="17">
        <f t="shared" si="4"/>
        <v>46381</v>
      </c>
      <c r="K6" s="17">
        <f t="shared" si="5"/>
        <v>46386</v>
      </c>
      <c r="L6" s="17">
        <f t="shared" si="6"/>
        <v>46344</v>
      </c>
      <c r="M6" s="17">
        <f t="shared" si="6"/>
        <v>46330</v>
      </c>
      <c r="N6" s="17">
        <f t="shared" si="6"/>
        <v>46316</v>
      </c>
      <c r="O6" s="16">
        <f t="shared" si="6"/>
        <v>46289</v>
      </c>
      <c r="P6" s="16">
        <f t="shared" si="6"/>
        <v>46275</v>
      </c>
      <c r="Q6" s="16">
        <f t="shared" si="6"/>
        <v>46261</v>
      </c>
      <c r="R6" s="16">
        <f t="shared" si="7"/>
        <v>46282</v>
      </c>
      <c r="S6" s="16">
        <f t="shared" si="8"/>
        <v>46275</v>
      </c>
      <c r="T6" s="17">
        <f t="shared" ref="T6:Z6" si="16">T5</f>
        <v>46267</v>
      </c>
      <c r="U6" s="17">
        <f t="shared" si="16"/>
        <v>46266</v>
      </c>
      <c r="V6" s="17">
        <f t="shared" si="16"/>
        <v>46246</v>
      </c>
      <c r="W6" s="17">
        <f t="shared" si="16"/>
        <v>46239</v>
      </c>
      <c r="X6" s="17">
        <f t="shared" si="16"/>
        <v>46235</v>
      </c>
      <c r="Y6" s="17">
        <f t="shared" si="16"/>
        <v>46234</v>
      </c>
      <c r="Z6" s="17">
        <f t="shared" si="16"/>
        <v>46227</v>
      </c>
      <c r="AA6" s="17">
        <f t="shared" ref="AA6:AA32" si="17">Y6-19</f>
        <v>46215</v>
      </c>
      <c r="AB6" s="17">
        <f t="shared" ref="AB6:AB32" si="18">AA6-10</f>
        <v>46205</v>
      </c>
    </row>
    <row r="7" spans="1:28" x14ac:dyDescent="0.25">
      <c r="A7" s="7" t="s">
        <v>35</v>
      </c>
      <c r="B7" s="4" t="str">
        <f t="shared" si="0"/>
        <v>Jan</v>
      </c>
      <c r="C7" s="7" t="s">
        <v>36</v>
      </c>
      <c r="D7" s="7">
        <f>24+24+30+10+20+10+8+8</f>
        <v>134</v>
      </c>
      <c r="E7" s="15">
        <f t="shared" si="15"/>
        <v>46408</v>
      </c>
      <c r="F7" s="16">
        <f t="shared" si="1"/>
        <v>46360</v>
      </c>
      <c r="G7" s="16">
        <f t="shared" si="2"/>
        <v>46388</v>
      </c>
      <c r="H7" s="16">
        <f t="shared" si="3"/>
        <v>46374</v>
      </c>
      <c r="I7" s="16">
        <f t="shared" si="3"/>
        <v>46379</v>
      </c>
      <c r="J7" s="16">
        <f t="shared" si="4"/>
        <v>46388</v>
      </c>
      <c r="K7" s="16">
        <f t="shared" si="5"/>
        <v>46393</v>
      </c>
      <c r="L7" s="16">
        <f t="shared" si="6"/>
        <v>46351</v>
      </c>
      <c r="M7" s="16">
        <f t="shared" si="6"/>
        <v>46337</v>
      </c>
      <c r="N7" s="16">
        <f t="shared" si="6"/>
        <v>46323</v>
      </c>
      <c r="O7" s="16">
        <f t="shared" si="6"/>
        <v>46296</v>
      </c>
      <c r="P7" s="16">
        <f t="shared" si="6"/>
        <v>46282</v>
      </c>
      <c r="Q7" s="16">
        <f t="shared" si="6"/>
        <v>46268</v>
      </c>
      <c r="R7" s="16">
        <f t="shared" si="7"/>
        <v>46289</v>
      </c>
      <c r="S7" s="16">
        <f t="shared" si="8"/>
        <v>46282</v>
      </c>
      <c r="T7" s="16">
        <f>S7-1</f>
        <v>46281</v>
      </c>
      <c r="U7" s="20">
        <f>T7-1</f>
        <v>46280</v>
      </c>
      <c r="V7" s="16">
        <f>U7-20</f>
        <v>46260</v>
      </c>
      <c r="W7" s="20">
        <f t="shared" ref="W7" si="19">U7-27</f>
        <v>46253</v>
      </c>
      <c r="X7" s="16">
        <f t="shared" ref="X7" si="20">W7-4</f>
        <v>46249</v>
      </c>
      <c r="Y7" s="21">
        <f>Y5</f>
        <v>46234</v>
      </c>
      <c r="Z7" s="21">
        <f>Y7-7</f>
        <v>46227</v>
      </c>
      <c r="AA7" s="17">
        <f>Y7-19</f>
        <v>46215</v>
      </c>
      <c r="AB7" s="17">
        <f>AA7-10</f>
        <v>46205</v>
      </c>
    </row>
    <row r="8" spans="1:28" x14ac:dyDescent="0.25">
      <c r="A8" s="7" t="s">
        <v>37</v>
      </c>
      <c r="B8" s="4" t="str">
        <f t="shared" si="0"/>
        <v>Jan</v>
      </c>
      <c r="C8" s="7" t="s">
        <v>31</v>
      </c>
      <c r="D8" s="7">
        <f>6+6+6+6+2+2</f>
        <v>28</v>
      </c>
      <c r="E8" s="22">
        <f t="shared" si="15"/>
        <v>46415</v>
      </c>
      <c r="F8" s="17">
        <f t="shared" si="1"/>
        <v>46367</v>
      </c>
      <c r="G8" s="17">
        <f t="shared" si="2"/>
        <v>46395</v>
      </c>
      <c r="H8" s="17">
        <f t="shared" si="3"/>
        <v>46381</v>
      </c>
      <c r="I8" s="17">
        <f t="shared" si="3"/>
        <v>46386</v>
      </c>
      <c r="J8" s="17">
        <f t="shared" si="4"/>
        <v>46395</v>
      </c>
      <c r="K8" s="17">
        <f t="shared" si="5"/>
        <v>46400</v>
      </c>
      <c r="L8" s="17">
        <f t="shared" si="6"/>
        <v>46358</v>
      </c>
      <c r="M8" s="17">
        <f t="shared" si="6"/>
        <v>46344</v>
      </c>
      <c r="N8" s="17">
        <f t="shared" si="6"/>
        <v>46330</v>
      </c>
      <c r="O8" s="16">
        <f t="shared" si="6"/>
        <v>46303</v>
      </c>
      <c r="P8" s="16">
        <f t="shared" si="6"/>
        <v>46289</v>
      </c>
      <c r="Q8" s="16">
        <f t="shared" si="6"/>
        <v>46275</v>
      </c>
      <c r="R8" s="16">
        <f t="shared" si="7"/>
        <v>46296</v>
      </c>
      <c r="S8" s="16">
        <f t="shared" si="8"/>
        <v>46289</v>
      </c>
      <c r="T8" s="17">
        <f t="shared" ref="T8:Z8" si="21">T7</f>
        <v>46281</v>
      </c>
      <c r="U8" s="17">
        <f t="shared" si="21"/>
        <v>46280</v>
      </c>
      <c r="V8" s="17">
        <f t="shared" si="21"/>
        <v>46260</v>
      </c>
      <c r="W8" s="17">
        <f t="shared" si="21"/>
        <v>46253</v>
      </c>
      <c r="X8" s="17">
        <f t="shared" si="21"/>
        <v>46249</v>
      </c>
      <c r="Y8" s="17">
        <f t="shared" si="21"/>
        <v>46234</v>
      </c>
      <c r="Z8" s="17">
        <f t="shared" si="21"/>
        <v>46227</v>
      </c>
      <c r="AA8" s="17">
        <f t="shared" si="17"/>
        <v>46215</v>
      </c>
      <c r="AB8" s="17">
        <f t="shared" si="18"/>
        <v>46205</v>
      </c>
    </row>
    <row r="9" spans="1:28" x14ac:dyDescent="0.25">
      <c r="A9" s="7" t="s">
        <v>38</v>
      </c>
      <c r="B9" s="4" t="str">
        <f t="shared" si="0"/>
        <v>Feb</v>
      </c>
      <c r="C9" s="7" t="s">
        <v>33</v>
      </c>
      <c r="D9" s="7">
        <v>0</v>
      </c>
      <c r="E9" s="15">
        <f t="shared" si="15"/>
        <v>46422</v>
      </c>
      <c r="F9" s="16">
        <f t="shared" si="1"/>
        <v>46374</v>
      </c>
      <c r="G9" s="16">
        <f t="shared" si="2"/>
        <v>46402</v>
      </c>
      <c r="H9" s="16">
        <f t="shared" si="3"/>
        <v>46388</v>
      </c>
      <c r="I9" s="16">
        <f t="shared" si="3"/>
        <v>46393</v>
      </c>
      <c r="J9" s="16">
        <f t="shared" si="4"/>
        <v>46402</v>
      </c>
      <c r="K9" s="16">
        <f t="shared" si="5"/>
        <v>46407</v>
      </c>
      <c r="L9" s="16">
        <f t="shared" si="6"/>
        <v>46365</v>
      </c>
      <c r="M9" s="16">
        <f t="shared" si="6"/>
        <v>46351</v>
      </c>
      <c r="N9" s="16">
        <f t="shared" si="6"/>
        <v>46337</v>
      </c>
      <c r="O9" s="16">
        <f t="shared" si="6"/>
        <v>46310</v>
      </c>
      <c r="P9" s="16">
        <f t="shared" si="6"/>
        <v>46296</v>
      </c>
      <c r="Q9" s="16">
        <f t="shared" si="6"/>
        <v>46282</v>
      </c>
      <c r="R9" s="16">
        <f t="shared" si="7"/>
        <v>46303</v>
      </c>
      <c r="S9" s="16">
        <f t="shared" si="8"/>
        <v>46296</v>
      </c>
      <c r="T9" s="17">
        <f t="shared" ref="T9:U9" si="22">S9-1</f>
        <v>46295</v>
      </c>
      <c r="U9" s="20">
        <f t="shared" si="22"/>
        <v>46294</v>
      </c>
      <c r="V9" s="16">
        <f t="shared" ref="V9" si="23">U9-20</f>
        <v>46274</v>
      </c>
      <c r="W9" s="20">
        <f t="shared" ref="W9" si="24">U9-27</f>
        <v>46267</v>
      </c>
      <c r="X9" s="16">
        <f t="shared" ref="X9" si="25">W9-4</f>
        <v>46263</v>
      </c>
      <c r="Y9" s="21">
        <f t="shared" ref="Y9" si="26">X9-1</f>
        <v>46262</v>
      </c>
      <c r="Z9" s="21">
        <f t="shared" ref="Z9" si="27">Y9-7</f>
        <v>46255</v>
      </c>
      <c r="AA9" s="17">
        <f t="shared" si="17"/>
        <v>46243</v>
      </c>
      <c r="AB9" s="17">
        <f t="shared" si="18"/>
        <v>46233</v>
      </c>
    </row>
    <row r="10" spans="1:28" x14ac:dyDescent="0.25">
      <c r="A10" s="7" t="s">
        <v>39</v>
      </c>
      <c r="B10" s="4" t="str">
        <f t="shared" si="0"/>
        <v>Feb</v>
      </c>
      <c r="C10" s="7" t="s">
        <v>31</v>
      </c>
      <c r="D10" s="7">
        <f>15+15+15+15+15+15+6+6+6+8+8</f>
        <v>124</v>
      </c>
      <c r="E10" s="22">
        <f t="shared" si="15"/>
        <v>46429</v>
      </c>
      <c r="F10" s="17">
        <f t="shared" si="1"/>
        <v>46381</v>
      </c>
      <c r="G10" s="17">
        <f t="shared" si="2"/>
        <v>46409</v>
      </c>
      <c r="H10" s="17">
        <f t="shared" si="3"/>
        <v>46395</v>
      </c>
      <c r="I10" s="17">
        <f t="shared" si="3"/>
        <v>46400</v>
      </c>
      <c r="J10" s="17">
        <f t="shared" si="4"/>
        <v>46409</v>
      </c>
      <c r="K10" s="17">
        <f t="shared" si="5"/>
        <v>46414</v>
      </c>
      <c r="L10" s="17">
        <f t="shared" si="6"/>
        <v>46372</v>
      </c>
      <c r="M10" s="17">
        <f t="shared" si="6"/>
        <v>46358</v>
      </c>
      <c r="N10" s="17">
        <f t="shared" si="6"/>
        <v>46344</v>
      </c>
      <c r="O10" s="16">
        <f t="shared" si="6"/>
        <v>46317</v>
      </c>
      <c r="P10" s="16">
        <f t="shared" si="6"/>
        <v>46303</v>
      </c>
      <c r="Q10" s="16">
        <f t="shared" si="6"/>
        <v>46289</v>
      </c>
      <c r="R10" s="16">
        <f t="shared" si="7"/>
        <v>46310</v>
      </c>
      <c r="S10" s="16">
        <f t="shared" si="8"/>
        <v>46303</v>
      </c>
      <c r="T10" s="17">
        <f t="shared" ref="T10:Z10" si="28">T9</f>
        <v>46295</v>
      </c>
      <c r="U10" s="17">
        <f t="shared" si="28"/>
        <v>46294</v>
      </c>
      <c r="V10" s="17">
        <f t="shared" si="28"/>
        <v>46274</v>
      </c>
      <c r="W10" s="17">
        <f t="shared" si="28"/>
        <v>46267</v>
      </c>
      <c r="X10" s="17">
        <f t="shared" si="28"/>
        <v>46263</v>
      </c>
      <c r="Y10" s="17">
        <f t="shared" si="28"/>
        <v>46262</v>
      </c>
      <c r="Z10" s="17">
        <f t="shared" si="28"/>
        <v>46255</v>
      </c>
      <c r="AA10" s="17">
        <f t="shared" si="17"/>
        <v>46243</v>
      </c>
      <c r="AB10" s="17">
        <f t="shared" si="18"/>
        <v>46233</v>
      </c>
    </row>
    <row r="11" spans="1:28" x14ac:dyDescent="0.25">
      <c r="A11" s="7" t="s">
        <v>40</v>
      </c>
      <c r="B11" s="4" t="str">
        <f t="shared" si="0"/>
        <v>Feb</v>
      </c>
      <c r="C11" s="7" t="s">
        <v>36</v>
      </c>
      <c r="D11" s="7">
        <f>24+24+30+10+20+10+8+8</f>
        <v>134</v>
      </c>
      <c r="E11" s="15">
        <f t="shared" si="15"/>
        <v>46436</v>
      </c>
      <c r="F11" s="16">
        <f t="shared" si="1"/>
        <v>46388</v>
      </c>
      <c r="G11" s="16">
        <f t="shared" si="2"/>
        <v>46416</v>
      </c>
      <c r="H11" s="16">
        <f t="shared" si="3"/>
        <v>46402</v>
      </c>
      <c r="I11" s="16">
        <f t="shared" si="3"/>
        <v>46407</v>
      </c>
      <c r="J11" s="16">
        <f t="shared" si="4"/>
        <v>46416</v>
      </c>
      <c r="K11" s="16">
        <f t="shared" si="5"/>
        <v>46421</v>
      </c>
      <c r="L11" s="16">
        <f t="shared" si="6"/>
        <v>46379</v>
      </c>
      <c r="M11" s="16">
        <f t="shared" si="6"/>
        <v>46365</v>
      </c>
      <c r="N11" s="16">
        <f t="shared" si="6"/>
        <v>46351</v>
      </c>
      <c r="O11" s="16">
        <f t="shared" si="6"/>
        <v>46324</v>
      </c>
      <c r="P11" s="16">
        <f t="shared" si="6"/>
        <v>46310</v>
      </c>
      <c r="Q11" s="16">
        <f t="shared" si="6"/>
        <v>46296</v>
      </c>
      <c r="R11" s="16">
        <f t="shared" si="7"/>
        <v>46317</v>
      </c>
      <c r="S11" s="16">
        <f t="shared" si="8"/>
        <v>46310</v>
      </c>
      <c r="T11" s="16">
        <f t="shared" ref="T11:U11" si="29">S11-1</f>
        <v>46309</v>
      </c>
      <c r="U11" s="20">
        <f t="shared" si="29"/>
        <v>46308</v>
      </c>
      <c r="V11" s="16">
        <f t="shared" ref="V11" si="30">U11-20</f>
        <v>46288</v>
      </c>
      <c r="W11" s="20">
        <f t="shared" ref="W11" si="31">U11-27</f>
        <v>46281</v>
      </c>
      <c r="X11" s="16">
        <f t="shared" ref="X11" si="32">W11-4</f>
        <v>46277</v>
      </c>
      <c r="Y11" s="21">
        <f t="shared" ref="Y11" si="33">Y9</f>
        <v>46262</v>
      </c>
      <c r="Z11" s="21">
        <f t="shared" ref="Z11" si="34">Y11-7</f>
        <v>46255</v>
      </c>
      <c r="AA11" s="17">
        <f t="shared" si="17"/>
        <v>46243</v>
      </c>
      <c r="AB11" s="17">
        <f t="shared" si="18"/>
        <v>46233</v>
      </c>
    </row>
    <row r="12" spans="1:28" x14ac:dyDescent="0.25">
      <c r="A12" s="7" t="s">
        <v>41</v>
      </c>
      <c r="B12" s="4" t="str">
        <f t="shared" si="0"/>
        <v>Feb</v>
      </c>
      <c r="C12" s="7" t="s">
        <v>31</v>
      </c>
      <c r="D12" s="7">
        <f>6+6+6+6+2+2</f>
        <v>28</v>
      </c>
      <c r="E12" s="22">
        <f t="shared" si="15"/>
        <v>46443</v>
      </c>
      <c r="F12" s="17">
        <f t="shared" si="1"/>
        <v>46395</v>
      </c>
      <c r="G12" s="17">
        <f t="shared" si="2"/>
        <v>46423</v>
      </c>
      <c r="H12" s="17">
        <f t="shared" si="3"/>
        <v>46409</v>
      </c>
      <c r="I12" s="17">
        <f t="shared" si="3"/>
        <v>46414</v>
      </c>
      <c r="J12" s="17">
        <f t="shared" si="4"/>
        <v>46423</v>
      </c>
      <c r="K12" s="17">
        <f t="shared" si="5"/>
        <v>46428</v>
      </c>
      <c r="L12" s="17">
        <f t="shared" si="6"/>
        <v>46386</v>
      </c>
      <c r="M12" s="17">
        <f t="shared" si="6"/>
        <v>46372</v>
      </c>
      <c r="N12" s="17">
        <f t="shared" si="6"/>
        <v>46358</v>
      </c>
      <c r="O12" s="16">
        <f t="shared" si="6"/>
        <v>46331</v>
      </c>
      <c r="P12" s="16">
        <f t="shared" si="6"/>
        <v>46317</v>
      </c>
      <c r="Q12" s="16">
        <f t="shared" si="6"/>
        <v>46303</v>
      </c>
      <c r="R12" s="16">
        <f t="shared" si="7"/>
        <v>46324</v>
      </c>
      <c r="S12" s="16">
        <f t="shared" si="8"/>
        <v>46317</v>
      </c>
      <c r="T12" s="17">
        <f t="shared" ref="T12:Z12" si="35">T11</f>
        <v>46309</v>
      </c>
      <c r="U12" s="17">
        <f t="shared" si="35"/>
        <v>46308</v>
      </c>
      <c r="V12" s="17">
        <f t="shared" si="35"/>
        <v>46288</v>
      </c>
      <c r="W12" s="17">
        <f t="shared" si="35"/>
        <v>46281</v>
      </c>
      <c r="X12" s="17">
        <f t="shared" si="35"/>
        <v>46277</v>
      </c>
      <c r="Y12" s="17">
        <f t="shared" si="35"/>
        <v>46262</v>
      </c>
      <c r="Z12" s="17">
        <f t="shared" si="35"/>
        <v>46255</v>
      </c>
      <c r="AA12" s="17">
        <f t="shared" si="17"/>
        <v>46243</v>
      </c>
      <c r="AB12" s="17">
        <f t="shared" si="18"/>
        <v>46233</v>
      </c>
    </row>
    <row r="13" spans="1:28" x14ac:dyDescent="0.25">
      <c r="A13" s="7" t="s">
        <v>42</v>
      </c>
      <c r="B13" s="4" t="str">
        <f t="shared" si="0"/>
        <v>Mar</v>
      </c>
      <c r="C13" s="7" t="s">
        <v>33</v>
      </c>
      <c r="D13" s="7">
        <v>0</v>
      </c>
      <c r="E13" s="15">
        <f t="shared" si="15"/>
        <v>46450</v>
      </c>
      <c r="F13" s="16">
        <f t="shared" si="1"/>
        <v>46402</v>
      </c>
      <c r="G13" s="16">
        <f t="shared" si="2"/>
        <v>46430</v>
      </c>
      <c r="H13" s="16">
        <f t="shared" si="3"/>
        <v>46416</v>
      </c>
      <c r="I13" s="16">
        <f t="shared" si="3"/>
        <v>46421</v>
      </c>
      <c r="J13" s="16">
        <f t="shared" si="4"/>
        <v>46430</v>
      </c>
      <c r="K13" s="16">
        <f t="shared" si="5"/>
        <v>46435</v>
      </c>
      <c r="L13" s="16">
        <f t="shared" si="6"/>
        <v>46393</v>
      </c>
      <c r="M13" s="16">
        <f t="shared" si="6"/>
        <v>46379</v>
      </c>
      <c r="N13" s="16">
        <f t="shared" si="6"/>
        <v>46365</v>
      </c>
      <c r="O13" s="16">
        <f t="shared" si="6"/>
        <v>46338</v>
      </c>
      <c r="P13" s="16">
        <f t="shared" si="6"/>
        <v>46324</v>
      </c>
      <c r="Q13" s="16">
        <f t="shared" si="6"/>
        <v>46310</v>
      </c>
      <c r="R13" s="16">
        <f t="shared" si="7"/>
        <v>46331</v>
      </c>
      <c r="S13" s="16">
        <f t="shared" si="8"/>
        <v>46324</v>
      </c>
      <c r="T13" s="17">
        <f t="shared" ref="T13:U13" si="36">S13-1</f>
        <v>46323</v>
      </c>
      <c r="U13" s="20">
        <f t="shared" si="36"/>
        <v>46322</v>
      </c>
      <c r="V13" s="16">
        <f t="shared" ref="V13" si="37">U13-20</f>
        <v>46302</v>
      </c>
      <c r="W13" s="20">
        <f t="shared" ref="W13" si="38">U13-27</f>
        <v>46295</v>
      </c>
      <c r="X13" s="16">
        <f t="shared" ref="X13" si="39">W13-4</f>
        <v>46291</v>
      </c>
      <c r="Y13" s="21">
        <f t="shared" ref="Y13" si="40">X13-1</f>
        <v>46290</v>
      </c>
      <c r="Z13" s="21">
        <f t="shared" ref="Z13" si="41">Y13-7</f>
        <v>46283</v>
      </c>
      <c r="AA13" s="17">
        <f t="shared" si="17"/>
        <v>46271</v>
      </c>
      <c r="AB13" s="17">
        <f t="shared" si="18"/>
        <v>46261</v>
      </c>
    </row>
    <row r="14" spans="1:28" x14ac:dyDescent="0.25">
      <c r="A14" s="7" t="s">
        <v>43</v>
      </c>
      <c r="B14" s="4" t="str">
        <f t="shared" si="0"/>
        <v>Mar</v>
      </c>
      <c r="C14" s="7" t="s">
        <v>31</v>
      </c>
      <c r="D14" s="7">
        <f t="shared" ref="D14" si="42">15+15+15+15+15+15+6+6+6+8+8</f>
        <v>124</v>
      </c>
      <c r="E14" s="22">
        <f t="shared" si="15"/>
        <v>46457</v>
      </c>
      <c r="F14" s="17">
        <f t="shared" si="1"/>
        <v>46409</v>
      </c>
      <c r="G14" s="17">
        <f t="shared" si="2"/>
        <v>46437</v>
      </c>
      <c r="H14" s="17">
        <f t="shared" si="3"/>
        <v>46423</v>
      </c>
      <c r="I14" s="17">
        <f t="shared" si="3"/>
        <v>46428</v>
      </c>
      <c r="J14" s="17">
        <f t="shared" si="4"/>
        <v>46437</v>
      </c>
      <c r="K14" s="17">
        <f t="shared" si="5"/>
        <v>46442</v>
      </c>
      <c r="L14" s="17">
        <f t="shared" si="6"/>
        <v>46400</v>
      </c>
      <c r="M14" s="17">
        <f t="shared" si="6"/>
        <v>46386</v>
      </c>
      <c r="N14" s="17">
        <f t="shared" si="6"/>
        <v>46372</v>
      </c>
      <c r="O14" s="16">
        <f t="shared" si="6"/>
        <v>46345</v>
      </c>
      <c r="P14" s="16">
        <f t="shared" si="6"/>
        <v>46331</v>
      </c>
      <c r="Q14" s="16">
        <f t="shared" si="6"/>
        <v>46317</v>
      </c>
      <c r="R14" s="16">
        <f t="shared" si="7"/>
        <v>46338</v>
      </c>
      <c r="S14" s="16">
        <f t="shared" si="8"/>
        <v>46331</v>
      </c>
      <c r="T14" s="17">
        <f t="shared" ref="T14:Z14" si="43">T13</f>
        <v>46323</v>
      </c>
      <c r="U14" s="17">
        <f t="shared" si="43"/>
        <v>46322</v>
      </c>
      <c r="V14" s="17">
        <f t="shared" si="43"/>
        <v>46302</v>
      </c>
      <c r="W14" s="17">
        <f t="shared" si="43"/>
        <v>46295</v>
      </c>
      <c r="X14" s="17">
        <f t="shared" si="43"/>
        <v>46291</v>
      </c>
      <c r="Y14" s="17">
        <f t="shared" si="43"/>
        <v>46290</v>
      </c>
      <c r="Z14" s="17">
        <f t="shared" si="43"/>
        <v>46283</v>
      </c>
      <c r="AA14" s="17">
        <f t="shared" si="17"/>
        <v>46271</v>
      </c>
      <c r="AB14" s="17">
        <f t="shared" si="18"/>
        <v>46261</v>
      </c>
    </row>
    <row r="15" spans="1:28" x14ac:dyDescent="0.25">
      <c r="A15" s="7" t="s">
        <v>44</v>
      </c>
      <c r="B15" s="4" t="str">
        <f t="shared" si="0"/>
        <v>Mar</v>
      </c>
      <c r="C15" s="7" t="s">
        <v>36</v>
      </c>
      <c r="D15" s="7">
        <f t="shared" ref="D15" si="44">24+24+30+10+20+10+8+8</f>
        <v>134</v>
      </c>
      <c r="E15" s="15">
        <f t="shared" si="15"/>
        <v>46464</v>
      </c>
      <c r="F15" s="16">
        <f t="shared" si="1"/>
        <v>46416</v>
      </c>
      <c r="G15" s="16">
        <f t="shared" si="2"/>
        <v>46444</v>
      </c>
      <c r="H15" s="16">
        <f t="shared" si="3"/>
        <v>46430</v>
      </c>
      <c r="I15" s="16">
        <f t="shared" si="3"/>
        <v>46435</v>
      </c>
      <c r="J15" s="16">
        <f t="shared" si="4"/>
        <v>46444</v>
      </c>
      <c r="K15" s="16">
        <f t="shared" si="5"/>
        <v>46449</v>
      </c>
      <c r="L15" s="16">
        <f t="shared" si="6"/>
        <v>46407</v>
      </c>
      <c r="M15" s="16">
        <f t="shared" si="6"/>
        <v>46393</v>
      </c>
      <c r="N15" s="16">
        <f t="shared" si="6"/>
        <v>46379</v>
      </c>
      <c r="O15" s="16">
        <f t="shared" si="6"/>
        <v>46352</v>
      </c>
      <c r="P15" s="16">
        <f t="shared" si="6"/>
        <v>46338</v>
      </c>
      <c r="Q15" s="16">
        <f t="shared" si="6"/>
        <v>46324</v>
      </c>
      <c r="R15" s="16">
        <f t="shared" si="7"/>
        <v>46345</v>
      </c>
      <c r="S15" s="16">
        <f t="shared" si="8"/>
        <v>46338</v>
      </c>
      <c r="T15" s="16">
        <f t="shared" ref="T15:U15" si="45">S15-1</f>
        <v>46337</v>
      </c>
      <c r="U15" s="20">
        <f t="shared" si="45"/>
        <v>46336</v>
      </c>
      <c r="V15" s="16">
        <f t="shared" ref="V15" si="46">U15-20</f>
        <v>46316</v>
      </c>
      <c r="W15" s="20">
        <f t="shared" ref="W15" si="47">U15-27</f>
        <v>46309</v>
      </c>
      <c r="X15" s="16">
        <f t="shared" ref="X15" si="48">W15-4</f>
        <v>46305</v>
      </c>
      <c r="Y15" s="21">
        <f t="shared" ref="Y15" si="49">Y13</f>
        <v>46290</v>
      </c>
      <c r="Z15" s="21">
        <f t="shared" ref="Z15" si="50">Y15-7</f>
        <v>46283</v>
      </c>
      <c r="AA15" s="17">
        <f t="shared" si="17"/>
        <v>46271</v>
      </c>
      <c r="AB15" s="17">
        <f t="shared" si="18"/>
        <v>46261</v>
      </c>
    </row>
    <row r="16" spans="1:28" x14ac:dyDescent="0.25">
      <c r="A16" s="7" t="s">
        <v>45</v>
      </c>
      <c r="B16" s="4" t="str">
        <f t="shared" si="0"/>
        <v>Mar</v>
      </c>
      <c r="C16" s="7" t="s">
        <v>31</v>
      </c>
      <c r="D16" s="7">
        <f t="shared" ref="D16" si="51">6+6+6+6+2+2</f>
        <v>28</v>
      </c>
      <c r="E16" s="22">
        <f t="shared" si="15"/>
        <v>46471</v>
      </c>
      <c r="F16" s="17">
        <f t="shared" si="1"/>
        <v>46423</v>
      </c>
      <c r="G16" s="17">
        <f t="shared" si="2"/>
        <v>46451</v>
      </c>
      <c r="H16" s="17">
        <f t="shared" si="3"/>
        <v>46437</v>
      </c>
      <c r="I16" s="17">
        <f t="shared" si="3"/>
        <v>46442</v>
      </c>
      <c r="J16" s="17">
        <f t="shared" si="4"/>
        <v>46451</v>
      </c>
      <c r="K16" s="17">
        <f t="shared" si="5"/>
        <v>46456</v>
      </c>
      <c r="L16" s="17">
        <f t="shared" si="6"/>
        <v>46414</v>
      </c>
      <c r="M16" s="17">
        <f t="shared" si="6"/>
        <v>46400</v>
      </c>
      <c r="N16" s="17">
        <f t="shared" si="6"/>
        <v>46386</v>
      </c>
      <c r="O16" s="16">
        <f t="shared" si="6"/>
        <v>46359</v>
      </c>
      <c r="P16" s="16">
        <f t="shared" si="6"/>
        <v>46345</v>
      </c>
      <c r="Q16" s="16">
        <f t="shared" si="6"/>
        <v>46331</v>
      </c>
      <c r="R16" s="16">
        <f t="shared" si="7"/>
        <v>46352</v>
      </c>
      <c r="S16" s="16">
        <f t="shared" si="8"/>
        <v>46345</v>
      </c>
      <c r="T16" s="17">
        <f t="shared" ref="T16:Z16" si="52">T15</f>
        <v>46337</v>
      </c>
      <c r="U16" s="17">
        <f t="shared" si="52"/>
        <v>46336</v>
      </c>
      <c r="V16" s="17">
        <f t="shared" si="52"/>
        <v>46316</v>
      </c>
      <c r="W16" s="17">
        <f t="shared" si="52"/>
        <v>46309</v>
      </c>
      <c r="X16" s="17">
        <f t="shared" si="52"/>
        <v>46305</v>
      </c>
      <c r="Y16" s="17">
        <f t="shared" si="52"/>
        <v>46290</v>
      </c>
      <c r="Z16" s="17">
        <f t="shared" si="52"/>
        <v>46283</v>
      </c>
      <c r="AA16" s="17">
        <f t="shared" si="17"/>
        <v>46271</v>
      </c>
      <c r="AB16" s="17">
        <f t="shared" si="18"/>
        <v>46261</v>
      </c>
    </row>
    <row r="17" spans="1:28" x14ac:dyDescent="0.25">
      <c r="A17" s="7" t="s">
        <v>46</v>
      </c>
      <c r="B17" s="4" t="str">
        <f t="shared" si="0"/>
        <v>Apr</v>
      </c>
      <c r="C17" s="7" t="s">
        <v>33</v>
      </c>
      <c r="D17" s="7">
        <v>0</v>
      </c>
      <c r="E17" s="15">
        <f t="shared" si="15"/>
        <v>46478</v>
      </c>
      <c r="F17" s="16">
        <f t="shared" si="1"/>
        <v>46430</v>
      </c>
      <c r="G17" s="16">
        <f t="shared" si="2"/>
        <v>46458</v>
      </c>
      <c r="H17" s="16">
        <f t="shared" si="3"/>
        <v>46444</v>
      </c>
      <c r="I17" s="16">
        <f t="shared" si="3"/>
        <v>46449</v>
      </c>
      <c r="J17" s="16">
        <f t="shared" si="4"/>
        <v>46458</v>
      </c>
      <c r="K17" s="16">
        <f t="shared" si="5"/>
        <v>46463</v>
      </c>
      <c r="L17" s="16">
        <f t="shared" si="6"/>
        <v>46421</v>
      </c>
      <c r="M17" s="16">
        <f t="shared" si="6"/>
        <v>46407</v>
      </c>
      <c r="N17" s="16">
        <f t="shared" si="6"/>
        <v>46393</v>
      </c>
      <c r="O17" s="16">
        <f t="shared" si="6"/>
        <v>46366</v>
      </c>
      <c r="P17" s="16">
        <f t="shared" si="6"/>
        <v>46352</v>
      </c>
      <c r="Q17" s="16">
        <f t="shared" si="6"/>
        <v>46338</v>
      </c>
      <c r="R17" s="16">
        <f t="shared" si="7"/>
        <v>46359</v>
      </c>
      <c r="S17" s="16">
        <f t="shared" si="8"/>
        <v>46352</v>
      </c>
      <c r="T17" s="17">
        <f t="shared" ref="T17:U17" si="53">S17-1</f>
        <v>46351</v>
      </c>
      <c r="U17" s="20">
        <f t="shared" si="53"/>
        <v>46350</v>
      </c>
      <c r="V17" s="16">
        <f t="shared" ref="V17" si="54">U17-20</f>
        <v>46330</v>
      </c>
      <c r="W17" s="20">
        <f t="shared" ref="W17" si="55">U17-27</f>
        <v>46323</v>
      </c>
      <c r="X17" s="16">
        <f t="shared" ref="X17" si="56">W17-4</f>
        <v>46319</v>
      </c>
      <c r="Y17" s="21">
        <f t="shared" ref="Y17" si="57">X17-1</f>
        <v>46318</v>
      </c>
      <c r="Z17" s="21">
        <f t="shared" ref="Z17" si="58">Y17-7</f>
        <v>46311</v>
      </c>
      <c r="AA17" s="17">
        <f t="shared" si="17"/>
        <v>46299</v>
      </c>
      <c r="AB17" s="17">
        <f t="shared" si="18"/>
        <v>46289</v>
      </c>
    </row>
    <row r="18" spans="1:28" x14ac:dyDescent="0.25">
      <c r="A18" s="7" t="s">
        <v>47</v>
      </c>
      <c r="B18" s="4" t="str">
        <f t="shared" si="0"/>
        <v>Apr</v>
      </c>
      <c r="C18" s="7" t="s">
        <v>31</v>
      </c>
      <c r="D18" s="7">
        <f t="shared" ref="D18" si="59">15+15+15+15+15+15+6+6+6+8+8</f>
        <v>124</v>
      </c>
      <c r="E18" s="22">
        <f t="shared" si="15"/>
        <v>46485</v>
      </c>
      <c r="F18" s="17">
        <f t="shared" si="1"/>
        <v>46437</v>
      </c>
      <c r="G18" s="17">
        <f t="shared" si="2"/>
        <v>46465</v>
      </c>
      <c r="H18" s="17">
        <f t="shared" si="3"/>
        <v>46451</v>
      </c>
      <c r="I18" s="17">
        <f t="shared" si="3"/>
        <v>46456</v>
      </c>
      <c r="J18" s="17">
        <f t="shared" si="4"/>
        <v>46465</v>
      </c>
      <c r="K18" s="17">
        <f t="shared" si="5"/>
        <v>46470</v>
      </c>
      <c r="L18" s="17">
        <f t="shared" si="6"/>
        <v>46428</v>
      </c>
      <c r="M18" s="17">
        <f t="shared" si="6"/>
        <v>46414</v>
      </c>
      <c r="N18" s="17">
        <f t="shared" si="6"/>
        <v>46400</v>
      </c>
      <c r="O18" s="16">
        <f t="shared" si="6"/>
        <v>46373</v>
      </c>
      <c r="P18" s="16">
        <f t="shared" si="6"/>
        <v>46359</v>
      </c>
      <c r="Q18" s="16">
        <f t="shared" si="6"/>
        <v>46345</v>
      </c>
      <c r="R18" s="16">
        <f t="shared" si="7"/>
        <v>46366</v>
      </c>
      <c r="S18" s="16">
        <f t="shared" si="8"/>
        <v>46359</v>
      </c>
      <c r="T18" s="17">
        <f t="shared" ref="T18:Z18" si="60">T17</f>
        <v>46351</v>
      </c>
      <c r="U18" s="17">
        <f t="shared" si="60"/>
        <v>46350</v>
      </c>
      <c r="V18" s="17">
        <f t="shared" si="60"/>
        <v>46330</v>
      </c>
      <c r="W18" s="17">
        <f t="shared" si="60"/>
        <v>46323</v>
      </c>
      <c r="X18" s="17">
        <f t="shared" si="60"/>
        <v>46319</v>
      </c>
      <c r="Y18" s="17">
        <f t="shared" si="60"/>
        <v>46318</v>
      </c>
      <c r="Z18" s="17">
        <f t="shared" si="60"/>
        <v>46311</v>
      </c>
      <c r="AA18" s="17">
        <f t="shared" si="17"/>
        <v>46299</v>
      </c>
      <c r="AB18" s="17">
        <f t="shared" si="18"/>
        <v>46289</v>
      </c>
    </row>
    <row r="19" spans="1:28" x14ac:dyDescent="0.25">
      <c r="A19" s="7" t="s">
        <v>48</v>
      </c>
      <c r="B19" s="4" t="str">
        <f t="shared" si="0"/>
        <v>Apr</v>
      </c>
      <c r="C19" s="7" t="s">
        <v>36</v>
      </c>
      <c r="D19" s="7">
        <f t="shared" ref="D19" si="61">24+24+30+10+20+10+8+8</f>
        <v>134</v>
      </c>
      <c r="E19" s="15">
        <f t="shared" si="15"/>
        <v>46492</v>
      </c>
      <c r="F19" s="16">
        <f t="shared" si="1"/>
        <v>46444</v>
      </c>
      <c r="G19" s="16">
        <f t="shared" si="2"/>
        <v>46472</v>
      </c>
      <c r="H19" s="16">
        <f t="shared" si="3"/>
        <v>46458</v>
      </c>
      <c r="I19" s="16">
        <f t="shared" si="3"/>
        <v>46463</v>
      </c>
      <c r="J19" s="16">
        <f t="shared" si="4"/>
        <v>46472</v>
      </c>
      <c r="K19" s="16">
        <f t="shared" si="5"/>
        <v>46477</v>
      </c>
      <c r="L19" s="16">
        <f t="shared" si="6"/>
        <v>46435</v>
      </c>
      <c r="M19" s="16">
        <f t="shared" si="6"/>
        <v>46421</v>
      </c>
      <c r="N19" s="16">
        <f t="shared" si="6"/>
        <v>46407</v>
      </c>
      <c r="O19" s="16">
        <f t="shared" si="6"/>
        <v>46380</v>
      </c>
      <c r="P19" s="16">
        <f t="shared" si="6"/>
        <v>46366</v>
      </c>
      <c r="Q19" s="16">
        <f t="shared" si="6"/>
        <v>46352</v>
      </c>
      <c r="R19" s="16">
        <f t="shared" si="7"/>
        <v>46373</v>
      </c>
      <c r="S19" s="16">
        <f t="shared" si="8"/>
        <v>46366</v>
      </c>
      <c r="T19" s="16">
        <f t="shared" ref="T19:U19" si="62">S19-1</f>
        <v>46365</v>
      </c>
      <c r="U19" s="20">
        <f t="shared" si="62"/>
        <v>46364</v>
      </c>
      <c r="V19" s="16">
        <f t="shared" ref="V19" si="63">U19-20</f>
        <v>46344</v>
      </c>
      <c r="W19" s="20">
        <f t="shared" ref="W19" si="64">U19-27</f>
        <v>46337</v>
      </c>
      <c r="X19" s="16">
        <f t="shared" ref="X19" si="65">W19-4</f>
        <v>46333</v>
      </c>
      <c r="Y19" s="21">
        <f t="shared" ref="Y19" si="66">Y17</f>
        <v>46318</v>
      </c>
      <c r="Z19" s="21">
        <f t="shared" ref="Z19" si="67">Y19-7</f>
        <v>46311</v>
      </c>
      <c r="AA19" s="17">
        <f t="shared" si="17"/>
        <v>46299</v>
      </c>
      <c r="AB19" s="17">
        <f t="shared" si="18"/>
        <v>46289</v>
      </c>
    </row>
    <row r="20" spans="1:28" x14ac:dyDescent="0.25">
      <c r="A20" s="7" t="s">
        <v>49</v>
      </c>
      <c r="B20" s="4" t="str">
        <f t="shared" si="0"/>
        <v>Apr</v>
      </c>
      <c r="C20" s="7" t="s">
        <v>31</v>
      </c>
      <c r="D20" s="7">
        <f t="shared" ref="D20" si="68">6+6+6+6+2+2</f>
        <v>28</v>
      </c>
      <c r="E20" s="22">
        <f t="shared" si="15"/>
        <v>46499</v>
      </c>
      <c r="F20" s="17">
        <f t="shared" si="1"/>
        <v>46451</v>
      </c>
      <c r="G20" s="17">
        <f t="shared" si="2"/>
        <v>46479</v>
      </c>
      <c r="H20" s="17">
        <f t="shared" ref="H20:I32" si="69">J20-14</f>
        <v>46465</v>
      </c>
      <c r="I20" s="17">
        <f t="shared" si="69"/>
        <v>46470</v>
      </c>
      <c r="J20" s="17">
        <f t="shared" si="4"/>
        <v>46479</v>
      </c>
      <c r="K20" s="17">
        <f t="shared" si="5"/>
        <v>46484</v>
      </c>
      <c r="L20" s="17">
        <f t="shared" si="6"/>
        <v>46442</v>
      </c>
      <c r="M20" s="17">
        <f t="shared" si="6"/>
        <v>46428</v>
      </c>
      <c r="N20" s="17">
        <f t="shared" si="6"/>
        <v>46414</v>
      </c>
      <c r="O20" s="16">
        <f t="shared" si="6"/>
        <v>46387</v>
      </c>
      <c r="P20" s="16">
        <f t="shared" si="6"/>
        <v>46373</v>
      </c>
      <c r="Q20" s="16">
        <f t="shared" si="6"/>
        <v>46359</v>
      </c>
      <c r="R20" s="16">
        <f t="shared" si="7"/>
        <v>46380</v>
      </c>
      <c r="S20" s="16">
        <f t="shared" ref="S20:S32" si="70">R20-7</f>
        <v>46373</v>
      </c>
      <c r="T20" s="17">
        <f t="shared" ref="T20:Z20" si="71">T19</f>
        <v>46365</v>
      </c>
      <c r="U20" s="17">
        <f t="shared" si="71"/>
        <v>46364</v>
      </c>
      <c r="V20" s="17">
        <f t="shared" si="71"/>
        <v>46344</v>
      </c>
      <c r="W20" s="17">
        <f t="shared" si="71"/>
        <v>46337</v>
      </c>
      <c r="X20" s="17">
        <f t="shared" si="71"/>
        <v>46333</v>
      </c>
      <c r="Y20" s="17">
        <f t="shared" si="71"/>
        <v>46318</v>
      </c>
      <c r="Z20" s="17">
        <f t="shared" si="71"/>
        <v>46311</v>
      </c>
      <c r="AA20" s="17">
        <f t="shared" si="17"/>
        <v>46299</v>
      </c>
      <c r="AB20" s="17">
        <f t="shared" si="18"/>
        <v>46289</v>
      </c>
    </row>
    <row r="21" spans="1:28" x14ac:dyDescent="0.25">
      <c r="A21" s="7" t="s">
        <v>50</v>
      </c>
      <c r="B21" s="4" t="str">
        <f t="shared" si="0"/>
        <v>Apr</v>
      </c>
      <c r="C21" s="7" t="s">
        <v>33</v>
      </c>
      <c r="D21" s="7">
        <v>0</v>
      </c>
      <c r="E21" s="15">
        <f t="shared" si="15"/>
        <v>46506</v>
      </c>
      <c r="F21" s="16">
        <f t="shared" si="1"/>
        <v>46458</v>
      </c>
      <c r="G21" s="16">
        <f t="shared" si="2"/>
        <v>46486</v>
      </c>
      <c r="H21" s="16">
        <f t="shared" si="69"/>
        <v>46472</v>
      </c>
      <c r="I21" s="16">
        <f t="shared" si="69"/>
        <v>46477</v>
      </c>
      <c r="J21" s="16">
        <f t="shared" si="4"/>
        <v>46486</v>
      </c>
      <c r="K21" s="16">
        <f t="shared" si="5"/>
        <v>46491</v>
      </c>
      <c r="L21" s="16">
        <f t="shared" si="6"/>
        <v>46449</v>
      </c>
      <c r="M21" s="16">
        <f t="shared" si="6"/>
        <v>46435</v>
      </c>
      <c r="N21" s="16">
        <f t="shared" si="6"/>
        <v>46421</v>
      </c>
      <c r="O21" s="16">
        <f t="shared" si="6"/>
        <v>46394</v>
      </c>
      <c r="P21" s="16">
        <f t="shared" si="6"/>
        <v>46380</v>
      </c>
      <c r="Q21" s="16">
        <f t="shared" si="6"/>
        <v>46366</v>
      </c>
      <c r="R21" s="16">
        <f t="shared" si="7"/>
        <v>46387</v>
      </c>
      <c r="S21" s="16">
        <f t="shared" si="70"/>
        <v>46380</v>
      </c>
      <c r="T21" s="17">
        <f t="shared" ref="T21:U21" si="72">S21-1</f>
        <v>46379</v>
      </c>
      <c r="U21" s="20">
        <f t="shared" si="72"/>
        <v>46378</v>
      </c>
      <c r="V21" s="16">
        <f t="shared" ref="V21" si="73">U21-20</f>
        <v>46358</v>
      </c>
      <c r="W21" s="20">
        <f t="shared" ref="W21" si="74">U21-27</f>
        <v>46351</v>
      </c>
      <c r="X21" s="16">
        <f t="shared" ref="X21" si="75">W21-4</f>
        <v>46347</v>
      </c>
      <c r="Y21" s="21">
        <f t="shared" ref="Y21" si="76">X21-1</f>
        <v>46346</v>
      </c>
      <c r="Z21" s="21">
        <f t="shared" ref="Z21" si="77">Y21-7</f>
        <v>46339</v>
      </c>
      <c r="AA21" s="17">
        <f t="shared" si="17"/>
        <v>46327</v>
      </c>
      <c r="AB21" s="17">
        <f t="shared" si="18"/>
        <v>46317</v>
      </c>
    </row>
    <row r="22" spans="1:28" x14ac:dyDescent="0.25">
      <c r="A22" s="7" t="s">
        <v>51</v>
      </c>
      <c r="B22" s="4" t="str">
        <f t="shared" si="0"/>
        <v>May</v>
      </c>
      <c r="C22" s="7" t="s">
        <v>31</v>
      </c>
      <c r="D22" s="7">
        <f t="shared" ref="D22" si="78">15+15+15+15+15+15+6+6+6+8+8</f>
        <v>124</v>
      </c>
      <c r="E22" s="22">
        <f t="shared" si="15"/>
        <v>46513</v>
      </c>
      <c r="F22" s="17">
        <f t="shared" si="1"/>
        <v>46465</v>
      </c>
      <c r="G22" s="17">
        <f t="shared" si="2"/>
        <v>46493</v>
      </c>
      <c r="H22" s="17">
        <f t="shared" si="69"/>
        <v>46479</v>
      </c>
      <c r="I22" s="17">
        <f t="shared" si="69"/>
        <v>46484</v>
      </c>
      <c r="J22" s="17">
        <f t="shared" si="4"/>
        <v>46493</v>
      </c>
      <c r="K22" s="17">
        <f t="shared" si="5"/>
        <v>46498</v>
      </c>
      <c r="L22" s="17">
        <f t="shared" si="6"/>
        <v>46456</v>
      </c>
      <c r="M22" s="17">
        <f t="shared" si="6"/>
        <v>46442</v>
      </c>
      <c r="N22" s="17">
        <f t="shared" si="6"/>
        <v>46428</v>
      </c>
      <c r="O22" s="16">
        <f t="shared" si="6"/>
        <v>46401</v>
      </c>
      <c r="P22" s="16">
        <f t="shared" si="6"/>
        <v>46387</v>
      </c>
      <c r="Q22" s="16">
        <f t="shared" si="6"/>
        <v>46373</v>
      </c>
      <c r="R22" s="16">
        <f t="shared" si="7"/>
        <v>46394</v>
      </c>
      <c r="S22" s="16">
        <f t="shared" si="70"/>
        <v>46387</v>
      </c>
      <c r="T22" s="17">
        <f t="shared" ref="T22:Z22" si="79">T21</f>
        <v>46379</v>
      </c>
      <c r="U22" s="17">
        <f t="shared" si="79"/>
        <v>46378</v>
      </c>
      <c r="V22" s="17">
        <f t="shared" si="79"/>
        <v>46358</v>
      </c>
      <c r="W22" s="17">
        <f t="shared" si="79"/>
        <v>46351</v>
      </c>
      <c r="X22" s="17">
        <f t="shared" si="79"/>
        <v>46347</v>
      </c>
      <c r="Y22" s="17">
        <f t="shared" si="79"/>
        <v>46346</v>
      </c>
      <c r="Z22" s="17">
        <f t="shared" si="79"/>
        <v>46339</v>
      </c>
      <c r="AA22" s="17">
        <f t="shared" si="17"/>
        <v>46327</v>
      </c>
      <c r="AB22" s="17">
        <f t="shared" si="18"/>
        <v>46317</v>
      </c>
    </row>
    <row r="23" spans="1:28" x14ac:dyDescent="0.25">
      <c r="A23" s="7" t="s">
        <v>52</v>
      </c>
      <c r="B23" s="4" t="str">
        <f t="shared" si="0"/>
        <v>May</v>
      </c>
      <c r="C23" s="7" t="s">
        <v>36</v>
      </c>
      <c r="D23" s="7">
        <f t="shared" ref="D23" si="80">24+24+30+10+20+10+8+8</f>
        <v>134</v>
      </c>
      <c r="E23" s="15">
        <f t="shared" si="15"/>
        <v>46520</v>
      </c>
      <c r="F23" s="16">
        <f t="shared" si="1"/>
        <v>46472</v>
      </c>
      <c r="G23" s="16">
        <f t="shared" si="2"/>
        <v>46500</v>
      </c>
      <c r="H23" s="16">
        <f t="shared" si="69"/>
        <v>46486</v>
      </c>
      <c r="I23" s="16">
        <f t="shared" si="69"/>
        <v>46491</v>
      </c>
      <c r="J23" s="16">
        <f t="shared" si="4"/>
        <v>46500</v>
      </c>
      <c r="K23" s="16">
        <f t="shared" si="5"/>
        <v>46505</v>
      </c>
      <c r="L23" s="16">
        <f t="shared" ref="L23:Q32" si="81">$E23-L$2</f>
        <v>46463</v>
      </c>
      <c r="M23" s="16">
        <f t="shared" si="81"/>
        <v>46449</v>
      </c>
      <c r="N23" s="16">
        <f t="shared" si="81"/>
        <v>46435</v>
      </c>
      <c r="O23" s="16">
        <f t="shared" si="81"/>
        <v>46408</v>
      </c>
      <c r="P23" s="16">
        <f t="shared" si="81"/>
        <v>46394</v>
      </c>
      <c r="Q23" s="16">
        <f t="shared" si="81"/>
        <v>46380</v>
      </c>
      <c r="R23" s="16">
        <f t="shared" si="7"/>
        <v>46401</v>
      </c>
      <c r="S23" s="16">
        <f t="shared" si="70"/>
        <v>46394</v>
      </c>
      <c r="T23" s="16">
        <f t="shared" ref="T23:U23" si="82">S23-1</f>
        <v>46393</v>
      </c>
      <c r="U23" s="20">
        <f t="shared" si="82"/>
        <v>46392</v>
      </c>
      <c r="V23" s="16">
        <f t="shared" ref="V23" si="83">U23-20</f>
        <v>46372</v>
      </c>
      <c r="W23" s="20">
        <f t="shared" ref="W23" si="84">U23-27</f>
        <v>46365</v>
      </c>
      <c r="X23" s="16">
        <f t="shared" ref="X23" si="85">W23-4</f>
        <v>46361</v>
      </c>
      <c r="Y23" s="21">
        <f t="shared" ref="Y23" si="86">Y21</f>
        <v>46346</v>
      </c>
      <c r="Z23" s="21">
        <f t="shared" ref="Z23" si="87">Y23-7</f>
        <v>46339</v>
      </c>
      <c r="AA23" s="17">
        <f t="shared" si="17"/>
        <v>46327</v>
      </c>
      <c r="AB23" s="17">
        <f t="shared" si="18"/>
        <v>46317</v>
      </c>
    </row>
    <row r="24" spans="1:28" x14ac:dyDescent="0.25">
      <c r="A24" s="7" t="s">
        <v>53</v>
      </c>
      <c r="B24" s="4" t="str">
        <f t="shared" si="0"/>
        <v>May</v>
      </c>
      <c r="C24" s="7" t="s">
        <v>31</v>
      </c>
      <c r="D24" s="7">
        <f t="shared" ref="D24" si="88">6+6+6+6+2+2</f>
        <v>28</v>
      </c>
      <c r="E24" s="22">
        <f t="shared" si="15"/>
        <v>46527</v>
      </c>
      <c r="F24" s="17">
        <f t="shared" si="1"/>
        <v>46479</v>
      </c>
      <c r="G24" s="17">
        <f t="shared" si="2"/>
        <v>46507</v>
      </c>
      <c r="H24" s="17">
        <f t="shared" si="69"/>
        <v>46493</v>
      </c>
      <c r="I24" s="17">
        <f t="shared" si="69"/>
        <v>46498</v>
      </c>
      <c r="J24" s="17">
        <f t="shared" si="4"/>
        <v>46507</v>
      </c>
      <c r="K24" s="17">
        <f t="shared" si="5"/>
        <v>46512</v>
      </c>
      <c r="L24" s="17">
        <f t="shared" si="81"/>
        <v>46470</v>
      </c>
      <c r="M24" s="17">
        <f t="shared" si="81"/>
        <v>46456</v>
      </c>
      <c r="N24" s="17">
        <f t="shared" si="81"/>
        <v>46442</v>
      </c>
      <c r="O24" s="16">
        <f t="shared" si="81"/>
        <v>46415</v>
      </c>
      <c r="P24" s="16">
        <f t="shared" si="81"/>
        <v>46401</v>
      </c>
      <c r="Q24" s="16">
        <f t="shared" si="81"/>
        <v>46387</v>
      </c>
      <c r="R24" s="16">
        <f t="shared" si="7"/>
        <v>46408</v>
      </c>
      <c r="S24" s="16">
        <f t="shared" si="70"/>
        <v>46401</v>
      </c>
      <c r="T24" s="17">
        <f t="shared" ref="T24:Z24" si="89">T23</f>
        <v>46393</v>
      </c>
      <c r="U24" s="17">
        <f t="shared" si="89"/>
        <v>46392</v>
      </c>
      <c r="V24" s="17">
        <f t="shared" si="89"/>
        <v>46372</v>
      </c>
      <c r="W24" s="17">
        <f t="shared" si="89"/>
        <v>46365</v>
      </c>
      <c r="X24" s="17">
        <f t="shared" si="89"/>
        <v>46361</v>
      </c>
      <c r="Y24" s="17">
        <f t="shared" si="89"/>
        <v>46346</v>
      </c>
      <c r="Z24" s="17">
        <f t="shared" si="89"/>
        <v>46339</v>
      </c>
      <c r="AA24" s="17">
        <f t="shared" si="17"/>
        <v>46327</v>
      </c>
      <c r="AB24" s="17">
        <f t="shared" si="18"/>
        <v>46317</v>
      </c>
    </row>
    <row r="25" spans="1:28" x14ac:dyDescent="0.25">
      <c r="A25" s="7" t="s">
        <v>54</v>
      </c>
      <c r="B25" s="4" t="str">
        <f t="shared" si="0"/>
        <v>May</v>
      </c>
      <c r="C25" s="7" t="s">
        <v>33</v>
      </c>
      <c r="D25" s="7">
        <v>0</v>
      </c>
      <c r="E25" s="15">
        <f t="shared" si="15"/>
        <v>46534</v>
      </c>
      <c r="F25" s="16">
        <f t="shared" si="1"/>
        <v>46486</v>
      </c>
      <c r="G25" s="16">
        <f t="shared" si="2"/>
        <v>46514</v>
      </c>
      <c r="H25" s="16">
        <f t="shared" si="69"/>
        <v>46500</v>
      </c>
      <c r="I25" s="16">
        <f t="shared" si="69"/>
        <v>46505</v>
      </c>
      <c r="J25" s="16">
        <f t="shared" si="4"/>
        <v>46514</v>
      </c>
      <c r="K25" s="16">
        <f t="shared" si="5"/>
        <v>46519</v>
      </c>
      <c r="L25" s="16">
        <f t="shared" si="81"/>
        <v>46477</v>
      </c>
      <c r="M25" s="16">
        <f t="shared" si="81"/>
        <v>46463</v>
      </c>
      <c r="N25" s="16">
        <f t="shared" si="81"/>
        <v>46449</v>
      </c>
      <c r="O25" s="16">
        <f t="shared" si="81"/>
        <v>46422</v>
      </c>
      <c r="P25" s="16">
        <f t="shared" si="81"/>
        <v>46408</v>
      </c>
      <c r="Q25" s="16">
        <f t="shared" si="81"/>
        <v>46394</v>
      </c>
      <c r="R25" s="16">
        <f t="shared" si="7"/>
        <v>46415</v>
      </c>
      <c r="S25" s="16">
        <f t="shared" si="70"/>
        <v>46408</v>
      </c>
      <c r="T25" s="17">
        <f t="shared" ref="T25:U25" si="90">S25-1</f>
        <v>46407</v>
      </c>
      <c r="U25" s="20">
        <f t="shared" si="90"/>
        <v>46406</v>
      </c>
      <c r="V25" s="16">
        <f t="shared" ref="V25" si="91">U25-20</f>
        <v>46386</v>
      </c>
      <c r="W25" s="20">
        <f t="shared" ref="W25" si="92">U25-27</f>
        <v>46379</v>
      </c>
      <c r="X25" s="16">
        <f t="shared" ref="X25" si="93">W25-4</f>
        <v>46375</v>
      </c>
      <c r="Y25" s="21">
        <f t="shared" ref="Y25" si="94">X25-1</f>
        <v>46374</v>
      </c>
      <c r="Z25" s="21">
        <f t="shared" ref="Z25" si="95">Y25-7</f>
        <v>46367</v>
      </c>
      <c r="AA25" s="17">
        <f t="shared" si="17"/>
        <v>46355</v>
      </c>
      <c r="AB25" s="17">
        <f t="shared" si="18"/>
        <v>46345</v>
      </c>
    </row>
    <row r="26" spans="1:28" x14ac:dyDescent="0.25">
      <c r="A26" s="7" t="s">
        <v>55</v>
      </c>
      <c r="B26" s="4" t="str">
        <f t="shared" si="0"/>
        <v>Jun</v>
      </c>
      <c r="C26" s="7" t="s">
        <v>31</v>
      </c>
      <c r="D26" s="7">
        <f t="shared" ref="D26" si="96">15+15+15+15+15+15+6+6+6+8+8</f>
        <v>124</v>
      </c>
      <c r="E26" s="22">
        <f t="shared" si="15"/>
        <v>46541</v>
      </c>
      <c r="F26" s="17">
        <f t="shared" si="1"/>
        <v>46493</v>
      </c>
      <c r="G26" s="17">
        <f t="shared" si="2"/>
        <v>46521</v>
      </c>
      <c r="H26" s="17">
        <f t="shared" si="69"/>
        <v>46507</v>
      </c>
      <c r="I26" s="17">
        <f t="shared" si="69"/>
        <v>46512</v>
      </c>
      <c r="J26" s="17">
        <f t="shared" si="4"/>
        <v>46521</v>
      </c>
      <c r="K26" s="17">
        <f t="shared" si="5"/>
        <v>46526</v>
      </c>
      <c r="L26" s="17">
        <f t="shared" si="81"/>
        <v>46484</v>
      </c>
      <c r="M26" s="17">
        <f t="shared" si="81"/>
        <v>46470</v>
      </c>
      <c r="N26" s="17">
        <f t="shared" si="81"/>
        <v>46456</v>
      </c>
      <c r="O26" s="16">
        <f t="shared" si="81"/>
        <v>46429</v>
      </c>
      <c r="P26" s="16">
        <f t="shared" si="81"/>
        <v>46415</v>
      </c>
      <c r="Q26" s="16">
        <f t="shared" si="81"/>
        <v>46401</v>
      </c>
      <c r="R26" s="16">
        <f t="shared" si="7"/>
        <v>46422</v>
      </c>
      <c r="S26" s="16">
        <f t="shared" si="70"/>
        <v>46415</v>
      </c>
      <c r="T26" s="17">
        <f t="shared" ref="T26:Z26" si="97">T25</f>
        <v>46407</v>
      </c>
      <c r="U26" s="17">
        <f t="shared" si="97"/>
        <v>46406</v>
      </c>
      <c r="V26" s="17">
        <f t="shared" si="97"/>
        <v>46386</v>
      </c>
      <c r="W26" s="17">
        <f t="shared" si="97"/>
        <v>46379</v>
      </c>
      <c r="X26" s="17">
        <f t="shared" si="97"/>
        <v>46375</v>
      </c>
      <c r="Y26" s="17">
        <f t="shared" si="97"/>
        <v>46374</v>
      </c>
      <c r="Z26" s="17">
        <f t="shared" si="97"/>
        <v>46367</v>
      </c>
      <c r="AA26" s="17">
        <f t="shared" si="17"/>
        <v>46355</v>
      </c>
      <c r="AB26" s="17">
        <f t="shared" si="18"/>
        <v>46345</v>
      </c>
    </row>
    <row r="27" spans="1:28" x14ac:dyDescent="0.25">
      <c r="A27" s="7" t="s">
        <v>56</v>
      </c>
      <c r="B27" s="4" t="str">
        <f t="shared" si="0"/>
        <v>Jun</v>
      </c>
      <c r="C27" s="7" t="s">
        <v>36</v>
      </c>
      <c r="D27" s="7">
        <f t="shared" ref="D27" si="98">24+24+30+10+20+10+8+8</f>
        <v>134</v>
      </c>
      <c r="E27" s="15">
        <f t="shared" si="15"/>
        <v>46548</v>
      </c>
      <c r="F27" s="16">
        <f t="shared" si="1"/>
        <v>46500</v>
      </c>
      <c r="G27" s="16">
        <f t="shared" si="2"/>
        <v>46528</v>
      </c>
      <c r="H27" s="16">
        <f t="shared" si="69"/>
        <v>46514</v>
      </c>
      <c r="I27" s="16">
        <f t="shared" si="69"/>
        <v>46519</v>
      </c>
      <c r="J27" s="16">
        <f t="shared" si="4"/>
        <v>46528</v>
      </c>
      <c r="K27" s="16">
        <f t="shared" si="5"/>
        <v>46533</v>
      </c>
      <c r="L27" s="16">
        <f t="shared" si="81"/>
        <v>46491</v>
      </c>
      <c r="M27" s="16">
        <f t="shared" si="81"/>
        <v>46477</v>
      </c>
      <c r="N27" s="16">
        <f t="shared" si="81"/>
        <v>46463</v>
      </c>
      <c r="O27" s="16">
        <f t="shared" si="81"/>
        <v>46436</v>
      </c>
      <c r="P27" s="16">
        <f t="shared" si="81"/>
        <v>46422</v>
      </c>
      <c r="Q27" s="16">
        <f t="shared" si="81"/>
        <v>46408</v>
      </c>
      <c r="R27" s="16">
        <f t="shared" si="7"/>
        <v>46429</v>
      </c>
      <c r="S27" s="16">
        <f t="shared" si="70"/>
        <v>46422</v>
      </c>
      <c r="T27" s="16">
        <f t="shared" ref="T27:U27" si="99">S27-1</f>
        <v>46421</v>
      </c>
      <c r="U27" s="20">
        <f t="shared" si="99"/>
        <v>46420</v>
      </c>
      <c r="V27" s="16">
        <f t="shared" ref="V27" si="100">U27-20</f>
        <v>46400</v>
      </c>
      <c r="W27" s="20">
        <f t="shared" ref="W27" si="101">U27-27</f>
        <v>46393</v>
      </c>
      <c r="X27" s="16">
        <f t="shared" ref="X27" si="102">W27-4</f>
        <v>46389</v>
      </c>
      <c r="Y27" s="21">
        <f t="shared" ref="Y27" si="103">Y25</f>
        <v>46374</v>
      </c>
      <c r="Z27" s="21">
        <f t="shared" ref="Z27" si="104">Y27-7</f>
        <v>46367</v>
      </c>
      <c r="AA27" s="17">
        <f t="shared" si="17"/>
        <v>46355</v>
      </c>
      <c r="AB27" s="17">
        <f t="shared" si="18"/>
        <v>46345</v>
      </c>
    </row>
    <row r="28" spans="1:28" x14ac:dyDescent="0.25">
      <c r="A28" s="7" t="s">
        <v>57</v>
      </c>
      <c r="B28" s="4" t="str">
        <f t="shared" si="0"/>
        <v>Jun</v>
      </c>
      <c r="C28" s="7" t="s">
        <v>31</v>
      </c>
      <c r="D28" s="7">
        <f t="shared" ref="D28" si="105">6+6+6+6+2+2</f>
        <v>28</v>
      </c>
      <c r="E28" s="22">
        <f t="shared" si="15"/>
        <v>46555</v>
      </c>
      <c r="F28" s="17">
        <f t="shared" si="1"/>
        <v>46507</v>
      </c>
      <c r="G28" s="17">
        <f t="shared" si="2"/>
        <v>46535</v>
      </c>
      <c r="H28" s="17">
        <f t="shared" si="69"/>
        <v>46521</v>
      </c>
      <c r="I28" s="17">
        <f t="shared" si="69"/>
        <v>46526</v>
      </c>
      <c r="J28" s="17">
        <f t="shared" si="4"/>
        <v>46535</v>
      </c>
      <c r="K28" s="17">
        <f t="shared" si="5"/>
        <v>46540</v>
      </c>
      <c r="L28" s="17">
        <f t="shared" si="81"/>
        <v>46498</v>
      </c>
      <c r="M28" s="17">
        <f t="shared" si="81"/>
        <v>46484</v>
      </c>
      <c r="N28" s="17">
        <f t="shared" si="81"/>
        <v>46470</v>
      </c>
      <c r="O28" s="16">
        <f t="shared" si="81"/>
        <v>46443</v>
      </c>
      <c r="P28" s="16">
        <f t="shared" si="81"/>
        <v>46429</v>
      </c>
      <c r="Q28" s="16">
        <f t="shared" si="81"/>
        <v>46415</v>
      </c>
      <c r="R28" s="16">
        <f t="shared" si="7"/>
        <v>46436</v>
      </c>
      <c r="S28" s="16">
        <f t="shared" si="70"/>
        <v>46429</v>
      </c>
      <c r="T28" s="17">
        <f t="shared" ref="T28:Z28" si="106">T27</f>
        <v>46421</v>
      </c>
      <c r="U28" s="17">
        <f t="shared" si="106"/>
        <v>46420</v>
      </c>
      <c r="V28" s="17">
        <f t="shared" si="106"/>
        <v>46400</v>
      </c>
      <c r="W28" s="17">
        <f t="shared" si="106"/>
        <v>46393</v>
      </c>
      <c r="X28" s="17">
        <f t="shared" si="106"/>
        <v>46389</v>
      </c>
      <c r="Y28" s="17">
        <f t="shared" si="106"/>
        <v>46374</v>
      </c>
      <c r="Z28" s="17">
        <f t="shared" si="106"/>
        <v>46367</v>
      </c>
      <c r="AA28" s="17">
        <f t="shared" si="17"/>
        <v>46355</v>
      </c>
      <c r="AB28" s="17">
        <f t="shared" si="18"/>
        <v>46345</v>
      </c>
    </row>
    <row r="29" spans="1:28" x14ac:dyDescent="0.25">
      <c r="A29" s="7" t="s">
        <v>58</v>
      </c>
      <c r="B29" s="4" t="str">
        <f t="shared" si="0"/>
        <v>Jun</v>
      </c>
      <c r="C29" s="7" t="s">
        <v>33</v>
      </c>
      <c r="D29" s="7">
        <v>0</v>
      </c>
      <c r="E29" s="15">
        <f t="shared" si="15"/>
        <v>46562</v>
      </c>
      <c r="F29" s="16">
        <f t="shared" si="1"/>
        <v>46514</v>
      </c>
      <c r="G29" s="16">
        <f t="shared" si="2"/>
        <v>46542</v>
      </c>
      <c r="H29" s="16">
        <f t="shared" si="69"/>
        <v>46528</v>
      </c>
      <c r="I29" s="16">
        <f t="shared" si="69"/>
        <v>46533</v>
      </c>
      <c r="J29" s="16">
        <f t="shared" si="4"/>
        <v>46542</v>
      </c>
      <c r="K29" s="16">
        <f t="shared" si="5"/>
        <v>46547</v>
      </c>
      <c r="L29" s="16">
        <f t="shared" si="81"/>
        <v>46505</v>
      </c>
      <c r="M29" s="16">
        <f t="shared" si="81"/>
        <v>46491</v>
      </c>
      <c r="N29" s="16">
        <f t="shared" si="81"/>
        <v>46477</v>
      </c>
      <c r="O29" s="16">
        <f t="shared" si="81"/>
        <v>46450</v>
      </c>
      <c r="P29" s="16">
        <f t="shared" si="81"/>
        <v>46436</v>
      </c>
      <c r="Q29" s="16">
        <f t="shared" si="81"/>
        <v>46422</v>
      </c>
      <c r="R29" s="16">
        <f t="shared" si="7"/>
        <v>46443</v>
      </c>
      <c r="S29" s="16">
        <f t="shared" si="70"/>
        <v>46436</v>
      </c>
      <c r="T29" s="17">
        <f t="shared" ref="T29:U29" si="107">S29-1</f>
        <v>46435</v>
      </c>
      <c r="U29" s="20">
        <f t="shared" si="107"/>
        <v>46434</v>
      </c>
      <c r="V29" s="16">
        <f t="shared" ref="V29" si="108">U29-20</f>
        <v>46414</v>
      </c>
      <c r="W29" s="20">
        <f t="shared" ref="W29" si="109">U29-27</f>
        <v>46407</v>
      </c>
      <c r="X29" s="16">
        <f t="shared" ref="X29" si="110">W29-4</f>
        <v>46403</v>
      </c>
      <c r="Y29" s="21">
        <f t="shared" ref="Y29" si="111">X29-1</f>
        <v>46402</v>
      </c>
      <c r="Z29" s="21">
        <f t="shared" ref="Z29" si="112">Y29-7</f>
        <v>46395</v>
      </c>
      <c r="AA29" s="17">
        <f t="shared" si="17"/>
        <v>46383</v>
      </c>
      <c r="AB29" s="17">
        <f t="shared" si="18"/>
        <v>46373</v>
      </c>
    </row>
    <row r="30" spans="1:28" x14ac:dyDescent="0.25">
      <c r="A30" s="7" t="s">
        <v>59</v>
      </c>
      <c r="B30" s="4" t="str">
        <f t="shared" si="0"/>
        <v>Jul</v>
      </c>
      <c r="C30" s="7" t="s">
        <v>31</v>
      </c>
      <c r="D30" s="7">
        <f t="shared" ref="D30" si="113">15+15+15+15+15+15+6+6+6+8+8</f>
        <v>124</v>
      </c>
      <c r="E30" s="22">
        <f t="shared" si="15"/>
        <v>46569</v>
      </c>
      <c r="F30" s="17">
        <f t="shared" si="1"/>
        <v>46521</v>
      </c>
      <c r="G30" s="17">
        <f t="shared" si="2"/>
        <v>46549</v>
      </c>
      <c r="H30" s="17">
        <f t="shared" si="69"/>
        <v>46535</v>
      </c>
      <c r="I30" s="17">
        <f t="shared" si="69"/>
        <v>46540</v>
      </c>
      <c r="J30" s="17">
        <f t="shared" si="4"/>
        <v>46549</v>
      </c>
      <c r="K30" s="17">
        <f t="shared" si="5"/>
        <v>46554</v>
      </c>
      <c r="L30" s="17">
        <f t="shared" si="81"/>
        <v>46512</v>
      </c>
      <c r="M30" s="17">
        <f t="shared" si="81"/>
        <v>46498</v>
      </c>
      <c r="N30" s="17">
        <f t="shared" si="81"/>
        <v>46484</v>
      </c>
      <c r="O30" s="16">
        <f t="shared" si="81"/>
        <v>46457</v>
      </c>
      <c r="P30" s="16">
        <f t="shared" si="81"/>
        <v>46443</v>
      </c>
      <c r="Q30" s="16">
        <f t="shared" si="81"/>
        <v>46429</v>
      </c>
      <c r="R30" s="16">
        <f t="shared" si="7"/>
        <v>46450</v>
      </c>
      <c r="S30" s="16">
        <f t="shared" si="70"/>
        <v>46443</v>
      </c>
      <c r="T30" s="17">
        <f t="shared" ref="T30:Z30" si="114">T29</f>
        <v>46435</v>
      </c>
      <c r="U30" s="17">
        <f t="shared" si="114"/>
        <v>46434</v>
      </c>
      <c r="V30" s="17">
        <f t="shared" si="114"/>
        <v>46414</v>
      </c>
      <c r="W30" s="17">
        <f t="shared" si="114"/>
        <v>46407</v>
      </c>
      <c r="X30" s="17">
        <f t="shared" si="114"/>
        <v>46403</v>
      </c>
      <c r="Y30" s="17">
        <f t="shared" si="114"/>
        <v>46402</v>
      </c>
      <c r="Z30" s="17">
        <f t="shared" si="114"/>
        <v>46395</v>
      </c>
      <c r="AA30" s="17">
        <f t="shared" si="17"/>
        <v>46383</v>
      </c>
      <c r="AB30" s="17">
        <f t="shared" si="18"/>
        <v>46373</v>
      </c>
    </row>
    <row r="31" spans="1:28" x14ac:dyDescent="0.25">
      <c r="A31" s="7" t="s">
        <v>60</v>
      </c>
      <c r="B31" s="4" t="str">
        <f t="shared" si="0"/>
        <v>Jul</v>
      </c>
      <c r="C31" s="7" t="s">
        <v>36</v>
      </c>
      <c r="D31" s="7">
        <f t="shared" ref="D31" si="115">24+24+30+10+20+10+8+8</f>
        <v>134</v>
      </c>
      <c r="E31" s="15">
        <f t="shared" si="15"/>
        <v>46576</v>
      </c>
      <c r="F31" s="16">
        <f t="shared" si="1"/>
        <v>46528</v>
      </c>
      <c r="G31" s="16">
        <f t="shared" si="2"/>
        <v>46556</v>
      </c>
      <c r="H31" s="16">
        <f t="shared" si="69"/>
        <v>46542</v>
      </c>
      <c r="I31" s="16">
        <f t="shared" si="69"/>
        <v>46547</v>
      </c>
      <c r="J31" s="16">
        <f t="shared" si="4"/>
        <v>46556</v>
      </c>
      <c r="K31" s="16">
        <f t="shared" si="5"/>
        <v>46561</v>
      </c>
      <c r="L31" s="16">
        <f t="shared" si="81"/>
        <v>46519</v>
      </c>
      <c r="M31" s="16">
        <f t="shared" si="81"/>
        <v>46505</v>
      </c>
      <c r="N31" s="16">
        <f t="shared" si="81"/>
        <v>46491</v>
      </c>
      <c r="O31" s="16">
        <f t="shared" si="81"/>
        <v>46464</v>
      </c>
      <c r="P31" s="16">
        <f t="shared" si="81"/>
        <v>46450</v>
      </c>
      <c r="Q31" s="16">
        <f t="shared" si="81"/>
        <v>46436</v>
      </c>
      <c r="R31" s="16">
        <f t="shared" si="7"/>
        <v>46457</v>
      </c>
      <c r="S31" s="16">
        <f t="shared" si="70"/>
        <v>46450</v>
      </c>
      <c r="T31" s="16">
        <f t="shared" ref="T31:U31" si="116">S31-1</f>
        <v>46449</v>
      </c>
      <c r="U31" s="20">
        <f t="shared" si="116"/>
        <v>46448</v>
      </c>
      <c r="V31" s="16">
        <f t="shared" ref="V31" si="117">U31-20</f>
        <v>46428</v>
      </c>
      <c r="W31" s="20">
        <f t="shared" ref="W31" si="118">U31-27</f>
        <v>46421</v>
      </c>
      <c r="X31" s="16">
        <f t="shared" ref="X31" si="119">W31-4</f>
        <v>46417</v>
      </c>
      <c r="Y31" s="21">
        <f t="shared" ref="Y31" si="120">Y29</f>
        <v>46402</v>
      </c>
      <c r="Z31" s="21">
        <f t="shared" ref="Z31" si="121">Y31-7</f>
        <v>46395</v>
      </c>
      <c r="AA31" s="17">
        <f t="shared" si="17"/>
        <v>46383</v>
      </c>
      <c r="AB31" s="17">
        <f t="shared" si="18"/>
        <v>46373</v>
      </c>
    </row>
    <row r="32" spans="1:28" x14ac:dyDescent="0.25">
      <c r="A32" s="7" t="s">
        <v>61</v>
      </c>
      <c r="B32" s="4" t="str">
        <f t="shared" si="0"/>
        <v>Jul</v>
      </c>
      <c r="C32" s="7" t="s">
        <v>31</v>
      </c>
      <c r="D32" s="7">
        <f t="shared" ref="D32" si="122">6+6+6+6+2+2</f>
        <v>28</v>
      </c>
      <c r="E32" s="22">
        <f t="shared" si="15"/>
        <v>46583</v>
      </c>
      <c r="F32" s="17">
        <f t="shared" si="1"/>
        <v>46535</v>
      </c>
      <c r="G32" s="17">
        <f t="shared" si="2"/>
        <v>46563</v>
      </c>
      <c r="H32" s="17">
        <f t="shared" si="69"/>
        <v>46549</v>
      </c>
      <c r="I32" s="17">
        <f t="shared" si="69"/>
        <v>46554</v>
      </c>
      <c r="J32" s="17">
        <f t="shared" si="4"/>
        <v>46563</v>
      </c>
      <c r="K32" s="17">
        <f t="shared" si="5"/>
        <v>46568</v>
      </c>
      <c r="L32" s="17">
        <f t="shared" si="81"/>
        <v>46526</v>
      </c>
      <c r="M32" s="17">
        <f t="shared" si="81"/>
        <v>46512</v>
      </c>
      <c r="N32" s="17">
        <f t="shared" si="81"/>
        <v>46498</v>
      </c>
      <c r="O32" s="16">
        <f t="shared" si="81"/>
        <v>46471</v>
      </c>
      <c r="P32" s="16">
        <f t="shared" si="81"/>
        <v>46457</v>
      </c>
      <c r="Q32" s="16">
        <f t="shared" si="81"/>
        <v>46443</v>
      </c>
      <c r="R32" s="16">
        <f t="shared" si="7"/>
        <v>46464</v>
      </c>
      <c r="S32" s="16">
        <f t="shared" si="70"/>
        <v>46457</v>
      </c>
      <c r="T32" s="17">
        <f t="shared" ref="T32:Z32" si="123">T31</f>
        <v>46449</v>
      </c>
      <c r="U32" s="17">
        <f t="shared" si="123"/>
        <v>46448</v>
      </c>
      <c r="V32" s="17">
        <f t="shared" si="123"/>
        <v>46428</v>
      </c>
      <c r="W32" s="17">
        <f t="shared" si="123"/>
        <v>46421</v>
      </c>
      <c r="X32" s="17">
        <f t="shared" si="123"/>
        <v>46417</v>
      </c>
      <c r="Y32" s="17">
        <f t="shared" si="123"/>
        <v>46402</v>
      </c>
      <c r="Z32" s="17">
        <f t="shared" si="123"/>
        <v>46395</v>
      </c>
      <c r="AA32" s="17">
        <f t="shared" si="17"/>
        <v>46383</v>
      </c>
      <c r="AB32" s="17">
        <f t="shared" si="18"/>
        <v>46373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Avanthika Sunil</dc:creator>
  <cp:lastModifiedBy>Avanthika Sunil</cp:lastModifiedBy>
  <dcterms:created xsi:type="dcterms:W3CDTF">2026-09-10T09:14:49Z</dcterms:created>
  <dcterms:modified xsi:type="dcterms:W3CDTF">2026-09-10T09:14:59Z</dcterms:modified>
</cp:coreProperties>
</file>